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Fayaz Yasini\Downloads\Forms\"/>
    </mc:Choice>
  </mc:AlternateContent>
  <xr:revisionPtr revIDLastSave="0" documentId="13_ncr:1_{F9C82E44-E15E-4996-A04B-E1CE74E0D1A5}" xr6:coauthVersionLast="47" xr6:coauthVersionMax="47" xr10:uidLastSave="{00000000-0000-0000-0000-000000000000}"/>
  <bookViews>
    <workbookView xWindow="-96" yWindow="-96" windowWidth="23232" windowHeight="13872" tabRatio="500" xr2:uid="{00000000-000D-0000-FFFF-FFFF00000000}"/>
  </bookViews>
  <sheets>
    <sheet name="Index" sheetId="1" r:id="rId1"/>
    <sheet name="PL-01 Plan Item Creation" sheetId="2" r:id="rId2"/>
    <sheet name="PL-02 Plan Approval Record" sheetId="3" r:id="rId3"/>
    <sheet name="PL-03 Operational Plan" sheetId="4" r:id="rId4"/>
    <sheet name="PL-04 Financial Plan" sheetId="5" r:id="rId5"/>
    <sheet name="PL-05 Actual Volume Entry" sheetId="6" r:id="rId6"/>
    <sheet name="PL-06 Variance Analysis" sheetId="7" r:id="rId7"/>
    <sheet name="PL-07 Alert Parameters &amp; Log" sheetId="8" r:id="rId8"/>
    <sheet name="PL-08 Actual vs Planned P&amp;L" sheetId="9" r:id="rId9"/>
    <sheet name="PL-09 Plan Amendment Request" sheetId="10" r:id="rId10"/>
    <sheet name="PL-10 Correspondence Register" sheetId="11" r:id="rId11"/>
    <sheet name="PL-11 Correction Request" sheetId="12" r:id="rId12"/>
    <sheet name="PL-12 Approval Matrix" sheetId="13" r:id="rId13"/>
    <sheet name="PL-13 Data Sources &amp; Logic" sheetId="14" r:id="rId14"/>
    <sheet name="PL-14 Reports Spec" sheetId="15" r:id="rId1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5" i="10" l="1"/>
  <c r="E19" i="10"/>
  <c r="D19" i="10"/>
  <c r="F18" i="10"/>
  <c r="F17" i="10"/>
  <c r="F16" i="10"/>
  <c r="F15" i="10"/>
  <c r="F14" i="10"/>
  <c r="F19" i="10" s="1"/>
  <c r="F13" i="10"/>
  <c r="B17" i="9"/>
  <c r="B14" i="9"/>
  <c r="B12" i="9"/>
  <c r="C11" i="9"/>
  <c r="B10" i="9"/>
  <c r="B9" i="9"/>
  <c r="K17" i="7"/>
  <c r="H17" i="7"/>
  <c r="G17" i="7"/>
  <c r="K16" i="7"/>
  <c r="H16" i="7"/>
  <c r="G16" i="7"/>
  <c r="K15" i="7"/>
  <c r="H15" i="7"/>
  <c r="G15" i="7"/>
  <c r="K14" i="7"/>
  <c r="H14" i="7"/>
  <c r="G14" i="7"/>
  <c r="H13" i="7"/>
  <c r="K13" i="7" s="1"/>
  <c r="G13" i="7"/>
  <c r="H12" i="7"/>
  <c r="K12" i="7" s="1"/>
  <c r="G12" i="7"/>
  <c r="H11" i="7"/>
  <c r="K11" i="7" s="1"/>
  <c r="G11" i="7"/>
  <c r="G10" i="7"/>
  <c r="H10" i="7" s="1"/>
  <c r="K10" i="7" s="1"/>
  <c r="G9" i="7"/>
  <c r="H9" i="7" s="1"/>
  <c r="K9" i="7" s="1"/>
  <c r="G8" i="7"/>
  <c r="H8" i="7" s="1"/>
  <c r="K8" i="7" s="1"/>
  <c r="G7" i="7"/>
  <c r="H7" i="7" s="1"/>
  <c r="K7" i="7" s="1"/>
  <c r="G6" i="7"/>
  <c r="H6" i="7" s="1"/>
  <c r="K6" i="7" s="1"/>
  <c r="J17" i="6"/>
  <c r="J16" i="6"/>
  <c r="J15" i="6"/>
  <c r="J14" i="6"/>
  <c r="J13" i="6"/>
  <c r="J12" i="6"/>
  <c r="J11" i="6"/>
  <c r="J10" i="6"/>
  <c r="J9" i="6"/>
  <c r="J8" i="6"/>
  <c r="Q27" i="5"/>
  <c r="Q25" i="5"/>
  <c r="Q23" i="5"/>
  <c r="Q22" i="5"/>
  <c r="Q24" i="5" s="1"/>
  <c r="Q26" i="5" s="1"/>
  <c r="Q19" i="5"/>
  <c r="Q18" i="5"/>
  <c r="Q17" i="5"/>
  <c r="Q16" i="5"/>
  <c r="Q15" i="5"/>
  <c r="Q14" i="5"/>
  <c r="Q13" i="5"/>
  <c r="Q12" i="5"/>
  <c r="Q11" i="5"/>
  <c r="Q10" i="5"/>
  <c r="Q9" i="5"/>
  <c r="Q8" i="5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Q17" i="4"/>
  <c r="Q16" i="4"/>
  <c r="Q15" i="4"/>
  <c r="Q14" i="4"/>
  <c r="Q13" i="4"/>
  <c r="Q12" i="4"/>
  <c r="Q11" i="4"/>
  <c r="Q10" i="4"/>
  <c r="Q9" i="4"/>
  <c r="Q8" i="4"/>
  <c r="C20" i="3"/>
  <c r="C11" i="2"/>
  <c r="E9" i="2"/>
  <c r="D17" i="9" l="1"/>
  <c r="D14" i="9"/>
  <c r="D12" i="9"/>
  <c r="C13" i="9"/>
  <c r="D11" i="9"/>
  <c r="F11" i="9" s="1"/>
  <c r="E10" i="9"/>
  <c r="D10" i="9"/>
  <c r="F10" i="9" s="1"/>
  <c r="B11" i="9"/>
  <c r="D9" i="9"/>
  <c r="K19" i="7"/>
  <c r="D13" i="9" l="1"/>
  <c r="F13" i="9" s="1"/>
  <c r="C15" i="9"/>
  <c r="E11" i="9"/>
  <c r="B13" i="9"/>
  <c r="F17" i="9"/>
  <c r="E17" i="9"/>
  <c r="F14" i="9"/>
  <c r="E14" i="9"/>
  <c r="F12" i="9"/>
  <c r="E12" i="9"/>
  <c r="F9" i="9"/>
  <c r="E9" i="9"/>
  <c r="B15" i="9" l="1"/>
  <c r="E13" i="9"/>
  <c r="D15" i="9" l="1"/>
  <c r="F15" i="9" s="1"/>
  <c r="E15" i="9"/>
</calcChain>
</file>

<file path=xl/sharedStrings.xml><?xml version="1.0" encoding="utf-8"?>
<sst xmlns="http://schemas.openxmlformats.org/spreadsheetml/2006/main" count="858" uniqueCount="521">
  <si>
    <t>NORTH COAL STATE OWNED CORPORATION</t>
  </si>
  <si>
    <t>ERP FORMS &amp; STANDARD TEMPLATES - PLANNING AND POLICY MODULE</t>
  </si>
  <si>
    <t>Developer pack accompanying the approved System Architecture &amp; BPR Report (20 September 2026)  |  Prepared by Crest Point Consulting Group  |  Version 1.0</t>
  </si>
  <si>
    <t>COLOUR LEGEND</t>
  </si>
  <si>
    <t>Yellow</t>
  </si>
  <si>
    <t>Field entered by a user (blue text = example data shown for illustration)</t>
  </si>
  <si>
    <t>Grey</t>
  </si>
  <si>
    <t>Auto-populated / auto-calculated by the system</t>
  </si>
  <si>
    <t>Light grey</t>
  </si>
  <si>
    <t>Not applicable on this form</t>
  </si>
  <si>
    <t>Navy</t>
  </si>
  <si>
    <t>Section / column headers and signature-block titles</t>
  </si>
  <si>
    <t>Form Code</t>
  </si>
  <si>
    <t>Sheet (click to open)</t>
  </si>
  <si>
    <t>Purpose</t>
  </si>
  <si>
    <t>Source in approved report</t>
  </si>
  <si>
    <t>PL-01</t>
  </si>
  <si>
    <t>PL-01 Plan Item Creation</t>
  </si>
  <si>
    <t>Dynamic plan item: class, category, CoA link or N/A</t>
  </si>
  <si>
    <t>4.7.2 Dynamic Plan Item Creation</t>
  </si>
  <si>
    <t>PL-02</t>
  </si>
  <si>
    <t>PL-02 Plan Approval Record</t>
  </si>
  <si>
    <t>Plan submission, completeness review and Head approval</t>
  </si>
  <si>
    <t>4.7.5 Workflow 1</t>
  </si>
  <si>
    <t>PL-03</t>
  </si>
  <si>
    <t>PL-03 Operational Plan</t>
  </si>
  <si>
    <t>Monthly excavation and extraction targets per Second Unit</t>
  </si>
  <si>
    <t>4.7.2 Operational Plan</t>
  </si>
  <si>
    <t>PL-04</t>
  </si>
  <si>
    <t>PL-04 Financial Plan</t>
  </si>
  <si>
    <t>Monthly revenue, cost and CAPEX plan with auto planned P&amp;L</t>
  </si>
  <si>
    <t>4.7.2 Comprehensive Financial, P&amp;L and CAPEX Plan</t>
  </si>
  <si>
    <t>PL-05</t>
  </si>
  <si>
    <t>PL-05 Actual Volume Entry</t>
  </si>
  <si>
    <t>Manual actual volumes with mandatory reference document</t>
  </si>
  <si>
    <t>4.7.2 Non-Financial Metric Exemption; 4.7.4</t>
  </si>
  <si>
    <t>PL-06</t>
  </si>
  <si>
    <t>PL-06 Variance Analysis</t>
  </si>
  <si>
    <t>Plan vs actual variance (absolute and %) with alert status</t>
  </si>
  <si>
    <t>4.7.2 Variance Analysis</t>
  </si>
  <si>
    <t>PL-07</t>
  </si>
  <si>
    <t>PL-07 Alert Parameters &amp; Log</t>
  </si>
  <si>
    <t>Variance thresholds and the alert log</t>
  </si>
  <si>
    <t>4.7.2 Automated Variance Alerts</t>
  </si>
  <si>
    <t>PL-08</t>
  </si>
  <si>
    <t>PL-08 Actual vs Planned P&amp;L</t>
  </si>
  <si>
    <t>Real-time Actual vs Planned P&amp;L report layout</t>
  </si>
  <si>
    <t>4.7.2 Automated Planned vs Actual P&amp;L</t>
  </si>
  <si>
    <t>PL-09</t>
  </si>
  <si>
    <t>PL-09 Plan Amendment Request</t>
  </si>
  <si>
    <t>Amendment with mandatory ED approval reference</t>
  </si>
  <si>
    <t>4.7.2 Plan Amendment Protocol; Workflow 3</t>
  </si>
  <si>
    <t>PL-10</t>
  </si>
  <si>
    <t>PL-10 Correspondence Register</t>
  </si>
  <si>
    <t>Digital in/out correspondence register (addition)</t>
  </si>
  <si>
    <t>4.7.1 As-Is activity / pain point</t>
  </si>
  <si>
    <t>PL-11</t>
  </si>
  <si>
    <t>PL-11 Correction Request</t>
  </si>
  <si>
    <t>Standard officer correction request (Planning)</t>
  </si>
  <si>
    <t>4.7.2 Officer Correction Request Workflow</t>
  </si>
  <si>
    <t>PL-12</t>
  </si>
  <si>
    <t>PL-12 Approval Matrix</t>
  </si>
  <si>
    <t>Who prepares and approves each form</t>
  </si>
  <si>
    <t>4.7.3 System Roles and Access Permissions</t>
  </si>
  <si>
    <t>PL-13</t>
  </si>
  <si>
    <t>PL-13 Data Sources &amp; Logic</t>
  </si>
  <si>
    <t>Where actuals come from, variance logic and As-Is gaps</t>
  </si>
  <si>
    <t>4.7.4 Developer Specifications</t>
  </si>
  <si>
    <t>PL-14</t>
  </si>
  <si>
    <t>PL-14 Reports Spec</t>
  </si>
  <si>
    <t>Required planning reports and filters</t>
  </si>
  <si>
    <t>4.7.4 Required Reports</t>
  </si>
  <si>
    <t>DESIGN RULES THAT APPLY TO EVERY FORM</t>
  </si>
  <si>
    <t>1. Single currency: Afghan Afghani (AFN) for financial items; physical items use tonnes and cubic metres.</t>
  </si>
  <si>
    <t>2. Planning posts NO accounting entries. Financial actuals are pulled live from Finance, Inventory, Sales and Procurement through Chart of Accounts links; physical actuals are entered manually against a mandatory reference document.</t>
  </si>
  <si>
    <t>3. The Executive Director and Directors have no system access; annual plans and amendments are approved physically outside the ERP and only the reference is recorded. No ED / Director signature block appears on any printed form.</t>
  </si>
  <si>
    <t>4. The approved Planning roles list no Internal Control step, so these forms have no "Verified by" block; IC keeps read-only access and sees every action in the Control Log.</t>
  </si>
  <si>
    <t>5. Officers can never edit or delete a submitted entry; corrections follow PL-11. Every action is written to the Control Log (layout FA-18 in the Finance workbook), which no user can alter.</t>
  </si>
  <si>
    <t>6. Plans are strictly isolated per Class (HQ or Second Unit); the Chart of Accounts has dedicated sub-accounts for each.</t>
  </si>
  <si>
    <t>7. Names, items, volumes, amounts, thresholds and account codes are illustrative examples only.</t>
  </si>
  <si>
    <t>[Corporation logo]</t>
  </si>
  <si>
    <t>DYNAMIC PLAN ITEM CREATION</t>
  </si>
  <si>
    <t>Form PL-01  |  Version 1.0  |  Created by the Planning Officer; the item becomes part of the plan the Head approves</t>
  </si>
  <si>
    <t>A. ITEM DEFINITION (all five parameters are mandatory)</t>
  </si>
  <si>
    <t>Plan Item Ref. (auto)</t>
  </si>
  <si>
    <t>PLI-000045</t>
  </si>
  <si>
    <t>Date Created</t>
  </si>
  <si>
    <t>Item Name / Description</t>
  </si>
  <si>
    <t>Wood for excavation holes</t>
  </si>
  <si>
    <t>Class Assignment (Location)</t>
  </si>
  <si>
    <t>Second Unit A</t>
  </si>
  <si>
    <t>Financial Classification</t>
  </si>
  <si>
    <t>Direct Cost</t>
  </si>
  <si>
    <t>Unit of Measure</t>
  </si>
  <si>
    <t>AFN</t>
  </si>
  <si>
    <t>Chart of Accounts Linkage</t>
  </si>
  <si>
    <t>5300-A Mining Consumables Expense - Second Unit A (example)</t>
  </si>
  <si>
    <t>Linkage Type (auto)</t>
  </si>
  <si>
    <t>Item Status</t>
  </si>
  <si>
    <t>Draft</t>
  </si>
  <si>
    <t>Created By</t>
  </si>
  <si>
    <t>PLN-OFF-01</t>
  </si>
  <si>
    <t>Rule Check (system)</t>
  </si>
  <si>
    <t>B. EXAMPLES OF PLAN ITEMS</t>
  </si>
  <si>
    <t>No.</t>
  </si>
  <si>
    <t>Class</t>
  </si>
  <si>
    <t>Plan Item</t>
  </si>
  <si>
    <t>CoA Linkage</t>
  </si>
  <si>
    <t>Unit</t>
  </si>
  <si>
    <t>Coal extraction (raw coal)</t>
  </si>
  <si>
    <t>N/A - Operational metric</t>
  </si>
  <si>
    <t>N/A</t>
  </si>
  <si>
    <t>Tonnes</t>
  </si>
  <si>
    <t>Overburden excavation</t>
  </si>
  <si>
    <t>Cubic metres</t>
  </si>
  <si>
    <t>Coal Sales Revenue</t>
  </si>
  <si>
    <t>Main Core Revenue</t>
  </si>
  <si>
    <t>4100-A Coal Sales Revenue</t>
  </si>
  <si>
    <t>HQ</t>
  </si>
  <si>
    <t>Rental Income - Market Block A</t>
  </si>
  <si>
    <t>Non-Core Revenue</t>
  </si>
  <si>
    <t>4200 Rental Income</t>
  </si>
  <si>
    <t>Office supplies</t>
  </si>
  <si>
    <t>Indirect Cost</t>
  </si>
  <si>
    <t>6500 Office Supplies Expense</t>
  </si>
  <si>
    <t>New mining truck</t>
  </si>
  <si>
    <t>CAPEX</t>
  </si>
  <si>
    <t>1535 Motor Vehicles - Second Unit A</t>
  </si>
  <si>
    <t>PREPARED BY
(Planning Officer)</t>
  </si>
  <si>
    <t>Name:</t>
  </si>
  <si>
    <t>Position:</t>
  </si>
  <si>
    <t>Signature:</t>
  </si>
  <si>
    <t>Date:</t>
  </si>
  <si>
    <t>NOTES FOR DEVELOPERS</t>
  </si>
  <si>
    <t>1. Every plan item carries a Class (HQ or a specific Second Unit) so budgets and targets are strictly isolated per location, a Financial Classification and a Chart of Accounts link for automated variance tracking.</t>
  </si>
  <si>
    <t>2. The CoA includes dedicated sub-accounts for each Second Unit and HQ; a financial plan item is linked to its Second Unit's sub-account. Physical metrics (tonnes extracted, cubic metres excavated) are linked to "N/A" and their actuals are entered manually against a reference document.</t>
  </si>
  <si>
    <t>3. The report lists five financial categories but does not say which category a physical metric takes; "N/A - Operational metric" is shown as a proposed option. Account codes shown are illustrative.</t>
  </si>
  <si>
    <t>4. Name, position and date may be pre-filled by the system from the Control Log; signatures are by hand so the printed form can be archived in the hard file.</t>
  </si>
  <si>
    <t>ANNUAL PLAN SUBMISSION AND APPROVAL RECORD</t>
  </si>
  <si>
    <t>Form PL-02  |  Version 1.0  |  Plan becomes Active only after the Planning Department Head approves it in the system</t>
  </si>
  <si>
    <t>A. PLAN DETAILS</t>
  </si>
  <si>
    <t>Plan Ref. (auto)</t>
  </si>
  <si>
    <t>PLN-2026-OP-01</t>
  </si>
  <si>
    <t>Fiscal Year</t>
  </si>
  <si>
    <t>FY-2026</t>
  </si>
  <si>
    <t>Plan Type</t>
  </si>
  <si>
    <t>Operational (Excavation and Extraction)</t>
  </si>
  <si>
    <t>Classes Covered</t>
  </si>
  <si>
    <t>Second Unit A, Second Unit B, Second Unit C</t>
  </si>
  <si>
    <t>Submitted By (Officer)</t>
  </si>
  <si>
    <t>Date Submitted</t>
  </si>
  <si>
    <t>B. DEPARTMENT HEAD COMPLETENESS REVIEW</t>
  </si>
  <si>
    <t>Check</t>
  </si>
  <si>
    <t>Result</t>
  </si>
  <si>
    <t>Comment</t>
  </si>
  <si>
    <t>All Classes (HQ and every Second Unit) covered</t>
  </si>
  <si>
    <t>Yes</t>
  </si>
  <si>
    <t>Monthly and annual targets entered for every plan item</t>
  </si>
  <si>
    <t>Class, financial category and CoA link (or N/A) set on every item</t>
  </si>
  <si>
    <t>Annual totals reviewed for reasonableness</t>
  </si>
  <si>
    <t>C. APPROVAL</t>
  </si>
  <si>
    <t>ED Physical Approval Ref.
(hard copy - see note 2)</t>
  </si>
  <si>
    <t>ED-PLAN-2026-0007</t>
  </si>
  <si>
    <t>Date of ED Physical Approval</t>
  </si>
  <si>
    <t>Planning Dept Head Decision</t>
  </si>
  <si>
    <t>Approved</t>
  </si>
  <si>
    <t>Decision Date</t>
  </si>
  <si>
    <t>Plan Status (system rule)</t>
  </si>
  <si>
    <t>APPROVED BY
(Planning Department Head)</t>
  </si>
  <si>
    <t>1. Workflow: Officer creates items, assigns Class / category / CoA link, enters monthly and annual targets and submits -&gt; Head reviews for completeness -&gt; Head approves -&gt; plan is Active and tracking begins.</t>
  </si>
  <si>
    <t>2. ADDITION TO CONFIRM: the roles section says the ED approves all annual plans physically and the Head approves "verifying they match physical ED approvals", but the Workflow-1 steps and the record carry no ED approval reference (only amendments do). The reference field above is added so the Head can verify it.</t>
  </si>
  <si>
    <t>3. Plans are entered for all Second Units and HQ and cannot be changed by Officers once submitted; the Officer cannot approve their own plan.</t>
  </si>
  <si>
    <t>4. The Executive Director and Directors have no system access. Their physical approval of annual plans and amendments is obtained outside the ERP; the ERP records only the reference. No ED / Director signature block appears on these forms, and the Planning roles list no Internal Control step, so there are no "Verified by" blocks.</t>
  </si>
  <si>
    <t>ANNUAL OPERATIONAL PLAN - EXCAVATION AND EXTRACTION</t>
  </si>
  <si>
    <t>Form PL-03  |  Version 1.0  |  Physical targets by month and Second Unit  |  CoA linkage: N/A</t>
  </si>
  <si>
    <t>Plan Ref. / Fiscal Year</t>
  </si>
  <si>
    <t>PLN-2026-OP-01 / FY-2026</t>
  </si>
  <si>
    <t>Plan Status</t>
  </si>
  <si>
    <t>Active</t>
  </si>
  <si>
    <t>Metric</t>
  </si>
  <si>
    <t>CoA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</si>
  <si>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</si>
  <si>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</si>
  <si>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</si>
  <si>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</si>
  <si>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</si>
  <si>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</si>
  <si>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</si>
  <si>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</si>
  <si>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</si>
  <si>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</si>
  <si>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</si>
  <si>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</si>
  <si>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 Total</t>
  </si>
  <si>
    <t>Excavation (overburden removal)</t>
  </si>
  <si>
    <t>m3</t>
  </si>
  <si>
    <t>Extraction (raw coal)</t>
  </si>
  <si>
    <t>Second Unit B</t>
  </si>
  <si>
    <t>Second Unit C</t>
  </si>
  <si>
    <t>TOTALS BY METRIC (all Classes)</t>
  </si>
  <si>
    <t>Annual</t>
  </si>
  <si>
    <t>Excavation (m3)</t>
  </si>
  <si>
    <t>Extraction (tonnes)</t>
  </si>
  <si>
    <t>1. Operational plan = planned volume of overburden removal (cubic metres) and raw coal extraction (tonnes) by month and Second Unit; entered at the start of each fiscal year. CoA linkage is N/A, so actuals are entered manually against reference documents (PL-05).</t>
  </si>
  <si>
    <t>2. Approved by the Planning Department Head (PL-02). Seasonal values and quantities shown are illustrative.</t>
  </si>
  <si>
    <t>3. Name, position and date may be pre-filled by the system from the Control Log; signatures are by hand so the printed form can be archived in the hard file.</t>
  </si>
  <si>
    <t>ANNUAL FINANCIAL PLAN - P&amp;L AND CAPEX</t>
  </si>
  <si>
    <t>Form PL-04  |  Version 1.0  |  Month-by-month targets by Class, category and CoA sub-account (AFN)</t>
  </si>
  <si>
    <t>PLN-2026-FIN-01 / FY-2026</t>
  </si>
  <si>
    <t>Category</t>
  </si>
  <si>
    <t>4100-A Coal Sales Revenue - Second Unit A</t>
  </si>
  <si>
    <t>4100-B Coal Sales Revenue - Second Unit B</t>
  </si>
  <si>
    <t>5300-A Mining Consumables Expense - Second Unit A</t>
  </si>
  <si>
    <t>Site workers wages</t>
  </si>
  <si>
    <t>5200-A Wages Expense - Second Unit A</t>
  </si>
  <si>
    <t>5200-B Wages Expense - Second Unit B</t>
  </si>
  <si>
    <t>Administration salaries</t>
  </si>
  <si>
    <t>6100 Salary Expense - Administration</t>
  </si>
  <si>
    <t>PLANNED PROFIT OR LOSS (auto-generated)</t>
  </si>
  <si>
    <t>Annual (AFN)</t>
  </si>
  <si>
    <t>Planned Revenue (Core + Non-Core)</t>
  </si>
  <si>
    <t>Less: Direct Costs</t>
  </si>
  <si>
    <t>Gross Profit</t>
  </si>
  <si>
    <t>Less: Indirect Costs</t>
  </si>
  <si>
    <t>PLANNED PROFIT / (LOSS)</t>
  </si>
  <si>
    <t>Memo: Planned CAPEX (not in P&amp;L)</t>
  </si>
  <si>
    <t>1. Planned P&amp;L is generated automatically from the plan: Revenue (Core + Non-Core) - Direct Costs = Gross Profit; - Indirect Costs = Profit or Loss. CAPEX is a budget for fixed-asset purchases and sits outside the P&amp;L.</t>
  </si>
  <si>
    <t>2. Rental income and wages figures echo the examples in the Properties and Payroll workbooks. All amounts and account codes are illustrative; CoA sub-accounts per Second Unit are created by Finance (FA-14).</t>
  </si>
  <si>
    <t>ACTUAL OPERATIONAL VOLUME ENTRY (NON-FINANCIAL METRICS)</t>
  </si>
  <si>
    <t>Manual entry by the Planning Officer, backed by verified physical documents - does not touch the general ledger</t>
  </si>
  <si>
    <t>Entered By (Officer)</t>
  </si>
  <si>
    <t>Entry Period</t>
  </si>
  <si>
    <t>October 2026</t>
  </si>
  <si>
    <t>Period</t>
  </si>
  <si>
    <t>Planned Volume (auto)</t>
  </si>
  <si>
    <t>Actual Volume Entered</t>
  </si>
  <si>
    <t>Reference Document No.
(mandatory)</t>
  </si>
  <si>
    <t>Document Type</t>
  </si>
  <si>
    <t>Validation (auto)</t>
  </si>
  <si>
    <t>Oct-2026</t>
  </si>
  <si>
    <t>SER-A-2026-10-01</t>
  </si>
  <si>
    <t>Signed site extraction report</t>
  </si>
  <si>
    <t>SER-A-2026-10-02</t>
  </si>
  <si>
    <t>Signed site excavation report</t>
  </si>
  <si>
    <t>SER-B-2026-10-01</t>
  </si>
  <si>
    <t>SER-C-2026-10-02</t>
  </si>
  <si>
    <t>1. Every manual actual must carry a Reference Document number (e.g. a signed site extraction report); the system rejects an entry without it. Entries do not affect the financial general ledger.</t>
  </si>
  <si>
    <t>2. Entry No. 4 (Second Unit C extraction) shows the missing-reference block; entry No. 5 shows a suggested plausibility check for the typing error the report mentions (5,000 tonnes keyed as 50,000). The plausibility check is a suggestion, not an approved feature.</t>
  </si>
  <si>
    <t>3. An Officer cannot edit or delete a submitted actual; corrections follow the request workflow in PL-11.</t>
  </si>
  <si>
    <t>ENTERED BY
(Planning Officer)</t>
  </si>
  <si>
    <t>PLAN VS ACTUAL VARIANCE ANALYSIS</t>
  </si>
  <si>
    <t>Real-time report - financial and operational lines in one engine  |  Period: October 2026 (example)</t>
  </si>
  <si>
    <t>Plan Line</t>
  </si>
  <si>
    <t>Type</t>
  </si>
  <si>
    <t>Planned</t>
  </si>
  <si>
    <t>Actual</t>
  </si>
  <si>
    <t>Variance (absolute)</t>
  </si>
  <si>
    <t>Variance %</t>
  </si>
  <si>
    <t>Direction</t>
  </si>
  <si>
    <t>Alert Threshold %</t>
  </si>
  <si>
    <t>Status (auto)</t>
  </si>
  <si>
    <t>Coal extraction</t>
  </si>
  <si>
    <t>Operational</t>
  </si>
  <si>
    <t>Higher is better</t>
  </si>
  <si>
    <t>Financial</t>
  </si>
  <si>
    <t>Wood for excavation holes (direct cost)</t>
  </si>
  <si>
    <t>Lower is better</t>
  </si>
  <si>
    <t>Site workers wages (direct cost)</t>
  </si>
  <si>
    <t>Office supplies (indirect cost)</t>
  </si>
  <si>
    <t>Lines in ALERT status (notified automatically to the Planning Department Head)</t>
  </si>
  <si>
    <t>1. For financial lines actuals are pulled automatically from Finance, Inventory, Sales and Procurement through the linked CoA sub-accounts; for operational lines they are the manual entries from PL-05. Variance = Actual - Planned, in absolute terms and as a percentage.</t>
  </si>
  <si>
    <t>2. Direction drives the alert: volumes and revenues alert when they fall short by more than the threshold; costs and CAPEX alert when they overrun. Threshold values are parameters (PL-07).</t>
  </si>
  <si>
    <t>3. Available in real time for any Second Unit, department, time period or plan category.</t>
  </si>
  <si>
    <t>VARIANCE ALERT PARAMETERS AND ALERT LOG</t>
  </si>
  <si>
    <t>Parameters are defined by the Planning Department; alerts go automatically to the Planning Department Head</t>
  </si>
  <si>
    <t>A. THRESHOLD PARAMETERS</t>
  </si>
  <si>
    <t>Plan Category / Metric</t>
  </si>
  <si>
    <t>Source</t>
  </si>
  <si>
    <t>Notes</t>
  </si>
  <si>
    <t>Coal extraction (tonnes)</t>
  </si>
  <si>
    <t>Report example (10%)</t>
  </si>
  <si>
    <t>Alert when actual extraction falls below plan by more than 10%.</t>
  </si>
  <si>
    <t>Overburden excavation (m3)</t>
  </si>
  <si>
    <t>Illustrative - confirm</t>
  </si>
  <si>
    <t>Not specified in the report.</t>
  </si>
  <si>
    <t>Direct Costs</t>
  </si>
  <si>
    <t>Report says "a defined limit"; no figure given.</t>
  </si>
  <si>
    <t>Indirect Costs</t>
  </si>
  <si>
    <t>B. ALERT LOG (real-time; permanent)</t>
  </si>
  <si>
    <t>Date Generated</t>
  </si>
  <si>
    <t>Class / Plan Line</t>
  </si>
  <si>
    <t>Threshold / Status</t>
  </si>
  <si>
    <t>Head Review and Management Action</t>
  </si>
  <si>
    <t>Second Unit A / Coal extraction</t>
  </si>
  <si>
    <t>-14.5%</t>
  </si>
  <si>
    <t>Threshold 10% - OPEN</t>
  </si>
  <si>
    <t>(awaiting Head review)</t>
  </si>
  <si>
    <t>Second Unit A / Coal Sales Revenue</t>
  </si>
  <si>
    <t>-14.0%</t>
  </si>
  <si>
    <t>Second Unit A / Wood for excavation holes</t>
  </si>
  <si>
    <t>+24.0%</t>
  </si>
  <si>
    <t>Threshold 15% - REVIEWED</t>
  </si>
  <si>
    <t>Head reviewed 02-Nov; supplier price increase confirmed (example)</t>
  </si>
  <si>
    <t>1. Alerts are generated automatically when actual figures deviate from plan by more than the threshold, so management can intervene before profitability is hit; the Head receives them and takes management action.</t>
  </si>
  <si>
    <t>2. The report gives one example (extraction more than 10% below plan) and says costs alert beyond "a defined limit"; every other value above is illustrative and must be confirmed. Dates and figures are example data.</t>
  </si>
  <si>
    <t>ACTUAL VS PLANNED PROFIT AND LOSS</t>
  </si>
  <si>
    <t>Real-time report - planned figures come from PL-04; actuals pulled live from Finance, Sales and Inventory</t>
  </si>
  <si>
    <t>January to September 2026 (YTD)</t>
  </si>
  <si>
    <t>Scope</t>
  </si>
  <si>
    <t>Consolidated (or any single Class)</t>
  </si>
  <si>
    <t>Generated On / By</t>
  </si>
  <si>
    <t>14-Oct-2026 10:15 / PLN-HEAD-01</t>
  </si>
  <si>
    <t>Line</t>
  </si>
  <si>
    <t>Planned (AFN)</t>
  </si>
  <si>
    <t>Actual (AFN)</t>
  </si>
  <si>
    <t>Variance (AFN)</t>
  </si>
  <si>
    <t>Favourable?</t>
  </si>
  <si>
    <t>TOTAL REVENUE</t>
  </si>
  <si>
    <t>GROSS PROFIT</t>
  </si>
  <si>
    <t>NET PROFIT / (LOSS)</t>
  </si>
  <si>
    <t>Memo: CAPEX (outside the P&amp;L)</t>
  </si>
  <si>
    <t>1. Actual revenue, cost and CAPEX figures are pulled live from the linked CoA sub-accounts; here they are grey example inputs. Planned figures are summed from the approved financial plan for the months selected (January-September).</t>
  </si>
  <si>
    <t>2. Variance = Actual - Planned. For revenue and profit lines a positive variance is favourable; for cost and CAPEX lines a negative variance is favourable. The Head can filter by any Class, department, period or plan category.</t>
  </si>
  <si>
    <t>3. The Head prints these reports for physical distribution to Directors and the ED (the ED has no system access).</t>
  </si>
  <si>
    <t>PLAN AMENDMENT REQUEST</t>
  </si>
  <si>
    <t>Form PL-09  |  Version 1.0  |  Physical ED approval comes FIRST; the Officer then records it in the system</t>
  </si>
  <si>
    <t>A. AMENDMENT DETAILS</t>
  </si>
  <si>
    <t>Amendment No. (auto)</t>
  </si>
  <si>
    <t>AMD-2026-000003</t>
  </si>
  <si>
    <t>Original Plan Ref.</t>
  </si>
  <si>
    <t>Plan Item / Metric</t>
  </si>
  <si>
    <t>Nature of Amendment</t>
  </si>
  <si>
    <t>Physical (volumes)</t>
  </si>
  <si>
    <t>Reason for Amendment</t>
  </si>
  <si>
    <t>Natural event (flooding of the access road) limits extraction in the remaining months. EXAMPLE DATA.</t>
  </si>
  <si>
    <t>B. REVISED FIGURES</t>
  </si>
  <si>
    <t>Month</t>
  </si>
  <si>
    <t>Original Figure</t>
  </si>
  <si>
    <t>Revised Figure</t>
  </si>
  <si>
    <t>Difference</t>
  </si>
  <si>
    <t>Extraction (raw coal) - tonnes</t>
  </si>
  <si>
    <t>TOTAL</t>
  </si>
  <si>
    <t>ED Physical Approval Ref.
(mandatory)</t>
  </si>
  <si>
    <t>ED-AMD-2026-0011</t>
  </si>
  <si>
    <t>Supporting Justification</t>
  </si>
  <si>
    <t>Engineering assessment of access road damage; ED approval letter on file. EXAMPLE DATA.</t>
  </si>
  <si>
    <t>System Result</t>
  </si>
  <si>
    <t>INITIATED BY
(Planning Officer)</t>
  </si>
  <si>
    <t>1. The ED approves the amendment on paper outside the system; the Officer then submits this request recording the original plan reference, nature and reason, revised figures, the ED approval reference (mandatory) and justification.</t>
  </si>
  <si>
    <t>2. The Head verifies that the system request matches the physical ED approval before approving. Revised figures replace the original in variance analysis; original figures stay in the system permanently and the Plan Amendment Log lists both.</t>
  </si>
  <si>
    <t>3. Officers cannot approve their own amendments. ED field reference only - no ED signature block. Name, position and date may be pre-filled by the system from the Control Log; signatures are by hand so the printed form can be archived in the hard file.</t>
  </si>
  <si>
    <t>OFFICIAL CORRESPONDENCE REGISTER (ADDITION)</t>
  </si>
  <si>
    <t>Replaces the physical in/out ledgers and carton archives - addition to the approved design</t>
  </si>
  <si>
    <t>ADDITION TO CONFIRM: the As-Is activity and pain point "lost documents and slow retrieval of official correspondence" have no matching feature in the To-Be. This register is proposed to close it.</t>
  </si>
  <si>
    <t>Reference No.</t>
  </si>
  <si>
    <t>Date</t>
  </si>
  <si>
    <t>From / To</t>
  </si>
  <si>
    <t>Subject</t>
  </si>
  <si>
    <t>Responsible Department</t>
  </si>
  <si>
    <t>Hard-Copy File / Carton Ref.</t>
  </si>
  <si>
    <t>Status</t>
  </si>
  <si>
    <t>Logged By</t>
  </si>
  <si>
    <t>COR-2026-0412</t>
  </si>
  <si>
    <t>Incoming</t>
  </si>
  <si>
    <t>Ministry of Mines and Petroleum</t>
  </si>
  <si>
    <t>Request for the quarterly production report</t>
  </si>
  <si>
    <t>Planning &amp; Policy</t>
  </si>
  <si>
    <t>CARTON-2026-Q4-07</t>
  </si>
  <si>
    <t>Open</t>
  </si>
  <si>
    <t>COR-2026-0413</t>
  </si>
  <si>
    <t>Outgoing</t>
  </si>
  <si>
    <t>General Directorate of State-Owned Corporations</t>
  </si>
  <si>
    <t>Monthly royalty and payment report</t>
  </si>
  <si>
    <t>Closed</t>
  </si>
  <si>
    <t>COR-2026-0414</t>
  </si>
  <si>
    <t>Directorate of Administrative Affairs</t>
  </si>
  <si>
    <t>Annual plan clarification request</t>
  </si>
  <si>
    <t>CARTON-2026-Q4-08</t>
  </si>
  <si>
    <t>PLN-OFF-02</t>
  </si>
  <si>
    <t>OFFICER CORRECTION REQUEST - PLANNING AND POLICY</t>
  </si>
  <si>
    <t>Form PL-11  |  Version 1.0  |  Same standard form as FA-11, module set to Planning and Policy</t>
  </si>
  <si>
    <t>A. REQUEST (raised by Planning Officer)</t>
  </si>
  <si>
    <t>Request No.</t>
  </si>
  <si>
    <t>CR-2026-000075</t>
  </si>
  <si>
    <t>Date Raised</t>
  </si>
  <si>
    <t>Module</t>
  </si>
  <si>
    <t>Planning and Policy</t>
  </si>
  <si>
    <t>Second Unit / HQ</t>
  </si>
  <si>
    <t>Entry Type</t>
  </si>
  <si>
    <t>Actual operational volume</t>
  </si>
  <si>
    <t>Entry Reference</t>
  </si>
  <si>
    <t>PL-05 row 5 - Second Unit C excavation Oct-2026</t>
  </si>
  <si>
    <t>Raised By (Officer)</t>
  </si>
  <si>
    <t>Entry Status at Request</t>
  </si>
  <si>
    <t>Submitted</t>
  </si>
  <si>
    <t>Description of Error
(written justification)</t>
  </si>
  <si>
    <t>Actual excavation keyed as 40,000 m3; the signed site report shows 4,000 m3. EXAMPLE DATA.</t>
  </si>
  <si>
    <t>Required Correction</t>
  </si>
  <si>
    <t>Change actual volume from 40,000 to 4,000 cubic metres.</t>
  </si>
  <si>
    <t>B. PLANNING DEPARTMENT HEAD DECISION (notified automatically on submission)</t>
  </si>
  <si>
    <t>Decision</t>
  </si>
  <si>
    <t>Decision Date / Time</t>
  </si>
  <si>
    <t>Reason (recorded if Rejected)</t>
  </si>
  <si>
    <t>Entry Unlocked</t>
  </si>
  <si>
    <t>Yes - Officer notified automatically</t>
  </si>
  <si>
    <t>Corrected Entry Ref.</t>
  </si>
  <si>
    <t>PL-05 row 5 (rev. 2)</t>
  </si>
  <si>
    <t>C. CONTROL LOG - PERMANENTLY RECORDED AND VISIBLE TO INTERNAL CONTROL</t>
  </si>
  <si>
    <t>Original entry</t>
  </si>
  <si>
    <t>Recorded</t>
  </si>
  <si>
    <t>Correction request</t>
  </si>
  <si>
    <t>Department Head approval</t>
  </si>
  <si>
    <t>Corrected entry</t>
  </si>
  <si>
    <t>REQUESTED BY
(Planning Officer)</t>
  </si>
  <si>
    <t>DECIDED BY
(Planning Department Head)</t>
  </si>
  <si>
    <t>1. Applies to a submitted plan entry (before finalization) or a manually entered actual volume. The Officer can never modify or delete a submitted entry directly. Every step is written to the Control Log (layout FA-18).</t>
  </si>
  <si>
    <t>PLANNING AND POLICY APPROVAL MATRIX</t>
  </si>
  <si>
    <t>Who prepares and approves each form; the Executive Director has no system role</t>
  </si>
  <si>
    <t>Form</t>
  </si>
  <si>
    <t>Initiated / Prepared By</t>
  </si>
  <si>
    <t>Department Head Action</t>
  </si>
  <si>
    <t>ED / Directors (physical, outside system)</t>
  </si>
  <si>
    <t>Data Source</t>
  </si>
  <si>
    <t>Automatic System Action</t>
  </si>
  <si>
    <t>Planning Officer</t>
  </si>
  <si>
    <t>Reviews as part of plan approval</t>
  </si>
  <si>
    <t>None</t>
  </si>
  <si>
    <t>Chart of Accounts (Finance)</t>
  </si>
  <si>
    <t>Links to CoA sub-account or N/A</t>
  </si>
  <si>
    <t>PL-02 / PL-03 / PL-04 Annual Plans</t>
  </si>
  <si>
    <t>Planning Officer (all Second Units and HQ)</t>
  </si>
  <si>
    <t>Approves; verifies against physical ED approval</t>
  </si>
  <si>
    <t>Reviews and approves annual plans physically</t>
  </si>
  <si>
    <t>Manual plan entry</t>
  </si>
  <si>
    <t>Plan becomes Active; planned P&amp;L generated</t>
  </si>
  <si>
    <t>Planning Officer (verified site reports)</t>
  </si>
  <si>
    <t>Signed site reports (physical)</t>
  </si>
  <si>
    <t>Reference document mandatory; no GL impact</t>
  </si>
  <si>
    <t>PL-06 / PL-08 Variance and P&amp;L</t>
  </si>
  <si>
    <t>System</t>
  </si>
  <si>
    <t>Full real-time access; generates and prints reports</t>
  </si>
  <si>
    <t>Receive printed reports</t>
  </si>
  <si>
    <t>Finance, Sales, Inventory, Procurement</t>
  </si>
  <si>
    <t>Variance abs and %; live Actual vs Planned P&amp;L</t>
  </si>
  <si>
    <t>PL-07 Alerts</t>
  </si>
  <si>
    <t>Receives alerts and takes action</t>
  </si>
  <si>
    <t>Variance engine</t>
  </si>
  <si>
    <t>Alert when variance exceeds threshold</t>
  </si>
  <si>
    <t>PL-09 Plan Amendment</t>
  </si>
  <si>
    <t>Planning Officer (after physical ED approval)</t>
  </si>
  <si>
    <t>Approves against the ED document</t>
  </si>
  <si>
    <t>Approves amendment physically BEFORE entry</t>
  </si>
  <si>
    <t>Manual</t>
  </si>
  <si>
    <t>Revised figures activate; originals retained</t>
  </si>
  <si>
    <t>Approves / rejects; unlocks if approved</t>
  </si>
  <si>
    <t>n/a</t>
  </si>
  <si>
    <t>Notifies Officer on unlock; logs every step</t>
  </si>
  <si>
    <t>DATA SOURCES AND SYSTEM LOGIC - DEVELOPER REFERENCE</t>
  </si>
  <si>
    <t>The module posts NO accounting entries - it reads actuals and compares them with plan</t>
  </si>
  <si>
    <t>Plan Item Type</t>
  </si>
  <si>
    <t>Source of Actual Data</t>
  </si>
  <si>
    <t>Mechanism</t>
  </si>
  <si>
    <t>Main Core Revenue (coal sales)</t>
  </si>
  <si>
    <t>Finance revenue accounts fed by Sales dispatch events</t>
  </si>
  <si>
    <t>Automatic pull by CoA sub-account per Class</t>
  </si>
  <si>
    <t>Revenue recognized on dispatch (FA-08, SM-07)</t>
  </si>
  <si>
    <t>Non-Core Revenue (rental income, scrap sales)</t>
  </si>
  <si>
    <t>Finance / Properties rental income and other income accounts</t>
  </si>
  <si>
    <t>Automatic pull by CoA sub-account</t>
  </si>
  <si>
    <t>Rental income per PP-05</t>
  </si>
  <si>
    <t>Finance, Inventory and Procurement expense accounts</t>
  </si>
  <si>
    <t>Includes wages, mining consumables</t>
  </si>
  <si>
    <t>Finance expense accounts</t>
  </si>
  <si>
    <t>HQ administration, office supplies</t>
  </si>
  <si>
    <t>Fixed-asset additions (Inventory, Properties, Procurement)</t>
  </si>
  <si>
    <t>Not part of the P&amp;L</t>
  </si>
  <si>
    <t>Operational volumes (extraction tonnes, excavation m3)</t>
  </si>
  <si>
    <t>Signed site extraction / excavation reports</t>
  </si>
  <si>
    <t>Manual entry by Planning Officer with mandatory reference document</t>
  </si>
  <si>
    <t>CoA linkage = N/A; no GL impact</t>
  </si>
  <si>
    <t>SYSTEM LOGIC</t>
  </si>
  <si>
    <t>1. Variance (absolute) = Actual - Planned; Variance % = Variance / Planned; both in real time for any Class, department, period or plan category.</t>
  </si>
  <si>
    <t>2. Alerts: when the variance exceeds the defined threshold % in the unfavourable direction, an automatic alert goes to the Planning Department Head (PL-07).</t>
  </si>
  <si>
    <t>3. Plan approval: Officer enters, Head approves, plan Active. Amendments need prior physical ED approval and a recorded reference; originals are retained permanently.</t>
  </si>
  <si>
    <t>4. IAS 1 / ISO 9001 compliance statements in the approved report. IFRS 18 replaces IAS 1 for annual periods beginning 1 January 2027 - the comparative statement layout should allow for it.</t>
  </si>
  <si>
    <t>AS-IS ACTIVITIES NOT CARRIED INTO THE TO-BE (CONFIRM WITH THE REPORT OWNER)</t>
  </si>
  <si>
    <t>1. Verifying monthly production and excavation data to authorize piece-rate payroll for contract mine workers (no link to the wages-based entry in Payroll).</t>
  </si>
  <si>
    <t>2. Calculating and submitting the monthly coal royalty and payment report to Finance, the Ministry of Mines and Petroleum and the General Directorate of State-Owned Corporations (no royalty accrual or report in any module).</t>
  </si>
  <si>
    <t>3. Preparing the mandatory quarterly operational, evaluation and financial realization reports for government bodies.</t>
  </si>
  <si>
    <t>4. Drafting plans from topographical survey maps, and managing the contracting out of informally mined areas.</t>
  </si>
  <si>
    <t>5. Logging official correspondence (a register is proposed in PL-10).</t>
  </si>
  <si>
    <t>REQUIRED REPORTS - PLANNING AND POLICY</t>
  </si>
  <si>
    <t>Real-time with a flexible Custom Date Range filter; header shows corporation name and logo, title, fiscal year, date range, timestamp and user</t>
  </si>
  <si>
    <t>#</t>
  </si>
  <si>
    <t>Report</t>
  </si>
  <si>
    <t>Frequency</t>
  </si>
  <si>
    <t>Filter Options</t>
  </si>
  <si>
    <t>Export</t>
  </si>
  <si>
    <t>Annual Operational Plan Report</t>
  </si>
  <si>
    <t>On demand</t>
  </si>
  <si>
    <t>By Class (Second Unit), per physical metric (Excavation m3 / Extraction tonnes), per month/year</t>
  </si>
  <si>
    <t>PDF + Excel</t>
  </si>
  <si>
    <t>Annual Financial Plan Report</t>
  </si>
  <si>
    <t>By Class (Second Unit/HQ), by Category (Direct Cost, Indirect Cost, Revenue, CAPEX), per month/year</t>
  </si>
  <si>
    <t>Actual vs Planned Profit &amp; Loss</t>
  </si>
  <si>
    <t>Real-time</t>
  </si>
  <si>
    <t>By Class (specific Second Unit or Consolidated); all revenues minus costs with variance %</t>
  </si>
  <si>
    <t>Operational Variance Report (Volumes)</t>
  </si>
  <si>
    <t>Monthly / On demand</t>
  </si>
  <si>
    <t>Per Second Unit, per period - physical variance (tonnes / m3) and percentage</t>
  </si>
  <si>
    <t>Financial Variance Report (AFN)</t>
  </si>
  <si>
    <t>Per Class, per CoA mapping, per period - AFN variance and percentage</t>
  </si>
  <si>
    <t>Consolidated Variance Summary</t>
  </si>
  <si>
    <t>Quarterly / Annual</t>
  </si>
  <si>
    <t>All Second Units and HQ - consolidated operational and financial variance across all categories</t>
  </si>
  <si>
    <t>Variance Alert Log</t>
  </si>
  <si>
    <t>All active variance alerts exceeding the defined threshold parameters</t>
  </si>
  <si>
    <t>Plan Amendment Log</t>
  </si>
  <si>
    <t>All amendments - original figures, revised figures, reason, ED approval reference, Head approval date</t>
  </si>
  <si>
    <t>Control Log / Audit Trail Report</t>
  </si>
  <si>
    <t>By user, date and action type (including all officer correction request loops and unlocks)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</si>
</sst>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m\-yyyy"/>
    <numFmt numFmtId="165" formatCode="#,##0;\(#,##0\);\-"/>
    <numFmt numFmtId="166" formatCode="0.0%;\(0.0%\);0.0%"/>
    <numFmt numFmtId="167" formatCode="dd\-mmm\-yyyy\ hh:mm"/>
  </numFmts>
  <fonts count="14" x14ac:knownFonts="1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b/>
      <sz val="13"/>
      <color rgb="FF000000"/>
      <name val="Arial"/>
      <charset val="1"/>
    </font>
    <font>
      <i/>
      <sz val="9"/>
      <color rgb="FF000000"/>
      <name val="Arial"/>
      <charset val="1"/>
    </font>
    <font>
      <b/>
      <sz val="10"/>
      <color rgb="FF000000"/>
      <name val="Arial"/>
      <charset val="1"/>
    </font>
    <font>
      <sz val="10"/>
      <color rgb="FF0000FF"/>
      <name val="Arial"/>
      <charset val="1"/>
    </font>
    <font>
      <sz val="10"/>
      <color rgb="FF000000"/>
      <name val="Arial"/>
      <charset val="1"/>
    </font>
    <font>
      <i/>
      <sz val="10"/>
      <color rgb="FF7F7F7F"/>
      <name val="Arial"/>
      <charset val="1"/>
    </font>
    <font>
      <sz val="10"/>
      <color rgb="FFFFFFFF"/>
      <name val="Arial"/>
      <charset val="1"/>
    </font>
    <font>
      <b/>
      <sz val="10"/>
      <color rgb="FFFFFFFF"/>
      <name val="Arial"/>
      <charset val="1"/>
    </font>
    <font>
      <u/>
      <sz val="10"/>
      <color rgb="FF0563C1"/>
      <name val="Arial"/>
      <charset val="1"/>
    </font>
    <font>
      <sz val="9"/>
      <color rgb="FF000000"/>
      <name val="Arial"/>
      <charset val="1"/>
    </font>
    <font>
      <b/>
      <sz val="14"/>
      <color rgb="FF1F3864"/>
      <name val="Arial"/>
      <charset val="1"/>
    </font>
    <font>
      <b/>
      <sz val="9"/>
      <color rgb="FFFFFFFF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E7E6E6"/>
      </patternFill>
    </fill>
    <fill>
      <patternFill patternType="solid">
        <fgColor rgb="FFFFF2CC"/>
        <bgColor rgb="FFF2F2F2"/>
      </patternFill>
    </fill>
    <fill>
      <patternFill patternType="solid">
        <fgColor rgb="FFE7E6E6"/>
        <bgColor rgb="FFD9E1F2"/>
      </patternFill>
    </fill>
    <fill>
      <patternFill patternType="solid">
        <fgColor rgb="FFF2F2F2"/>
        <bgColor rgb="FFE7E6E6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52">
    <xf numFmtId="0" fontId="0" fillId="0" borderId="0" xfId="0"/>
    <xf numFmtId="164" fontId="6" fillId="4" borderId="1" xfId="0" applyNumberFormat="1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164" fontId="5" fillId="3" borderId="1" xfId="0" applyNumberFormat="1" applyFont="1" applyFill="1" applyBorder="1" applyAlignment="1">
      <alignment horizontal="left" vertical="center" wrapText="1"/>
    </xf>
    <xf numFmtId="3" fontId="5" fillId="3" borderId="1" xfId="0" applyNumberFormat="1" applyFont="1" applyFill="1" applyBorder="1" applyAlignment="1">
      <alignment horizontal="left" vertical="center" wrapText="1"/>
    </xf>
    <xf numFmtId="3" fontId="4" fillId="4" borderId="1" xfId="0" applyNumberFormat="1" applyFont="1" applyFill="1" applyBorder="1" applyAlignment="1">
      <alignment horizontal="left" vertical="center" wrapText="1"/>
    </xf>
    <xf numFmtId="3" fontId="6" fillId="0" borderId="1" xfId="0" applyNumberFormat="1" applyFont="1" applyBorder="1" applyAlignment="1">
      <alignment horizontal="left" vertical="center" wrapText="1"/>
    </xf>
    <xf numFmtId="3" fontId="6" fillId="4" borderId="1" xfId="0" applyNumberFormat="1" applyFont="1" applyFill="1" applyBorder="1" applyAlignment="1">
      <alignment horizontal="left" vertical="center" wrapText="1"/>
    </xf>
    <xf numFmtId="165" fontId="5" fillId="3" borderId="1" xfId="0" applyNumberFormat="1" applyFont="1" applyFill="1" applyBorder="1" applyAlignment="1">
      <alignment horizontal="left" vertical="center" wrapText="1"/>
    </xf>
    <xf numFmtId="165" fontId="6" fillId="0" borderId="1" xfId="0" applyNumberFormat="1" applyFont="1" applyBorder="1" applyAlignment="1">
      <alignment horizontal="left" vertical="center" wrapText="1"/>
    </xf>
    <xf numFmtId="165" fontId="6" fillId="4" borderId="1" xfId="0" applyNumberFormat="1" applyFont="1" applyFill="1" applyBorder="1" applyAlignment="1">
      <alignment horizontal="left" vertical="center" wrapText="1"/>
    </xf>
    <xf numFmtId="165" fontId="4" fillId="4" borderId="1" xfId="0" applyNumberFormat="1" applyFont="1" applyFill="1" applyBorder="1" applyAlignment="1">
      <alignment horizontal="left" vertical="center" wrapText="1"/>
    </xf>
    <xf numFmtId="166" fontId="6" fillId="4" borderId="1" xfId="0" applyNumberFormat="1" applyFont="1" applyFill="1" applyBorder="1" applyAlignment="1">
      <alignment horizontal="left" vertical="center" wrapText="1"/>
    </xf>
    <xf numFmtId="9" fontId="5" fillId="3" borderId="1" xfId="0" applyNumberFormat="1" applyFont="1" applyFill="1" applyBorder="1" applyAlignment="1">
      <alignment horizontal="center" vertical="center" wrapText="1"/>
    </xf>
    <xf numFmtId="9" fontId="6" fillId="0" borderId="1" xfId="0" applyNumberFormat="1" applyFont="1" applyBorder="1" applyAlignment="1">
      <alignment horizontal="center" vertical="center" wrapText="1"/>
    </xf>
    <xf numFmtId="167" fontId="6" fillId="4" borderId="1" xfId="0" applyNumberFormat="1" applyFont="1" applyFill="1" applyBorder="1" applyAlignment="1">
      <alignment horizontal="left" vertical="center" wrapText="1"/>
    </xf>
    <xf numFmtId="166" fontId="4" fillId="4" borderId="1" xfId="0" applyNumberFormat="1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165" fontId="4" fillId="2" borderId="1" xfId="0" applyNumberFormat="1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164" fontId="5" fillId="3" borderId="1" xfId="0" applyNumberFormat="1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left" vertical="center" wrapText="1"/>
    </xf>
    <xf numFmtId="167" fontId="6" fillId="4" borderId="1" xfId="0" applyNumberFormat="1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2CC"/>
      <rgbColor rgb="FFF2F2F2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North_Coal_ERP_Planning_Policy_Forms.xlsx" TargetMode="External"/><Relationship Id="rId13" Type="http://schemas.openxmlformats.org/officeDocument/2006/relationships/hyperlink" Target="North_Coal_ERP_Planning_Policy_Forms.xlsx" TargetMode="External"/><Relationship Id="rId3" Type="http://schemas.openxmlformats.org/officeDocument/2006/relationships/hyperlink" Target="North_Coal_ERP_Planning_Policy_Forms.xlsx" TargetMode="External"/><Relationship Id="rId7" Type="http://schemas.openxmlformats.org/officeDocument/2006/relationships/hyperlink" Target="North_Coal_ERP_Planning_Policy_Forms.xlsx" TargetMode="External"/><Relationship Id="rId12" Type="http://schemas.openxmlformats.org/officeDocument/2006/relationships/hyperlink" Target="North_Coal_ERP_Planning_Policy_Forms.xlsx" TargetMode="External"/><Relationship Id="rId2" Type="http://schemas.openxmlformats.org/officeDocument/2006/relationships/hyperlink" Target="North_Coal_ERP_Planning_Policy_Forms.xlsx" TargetMode="External"/><Relationship Id="rId1" Type="http://schemas.openxmlformats.org/officeDocument/2006/relationships/hyperlink" Target="North_Coal_ERP_Planning_Policy_Forms.xlsx" TargetMode="External"/><Relationship Id="rId6" Type="http://schemas.openxmlformats.org/officeDocument/2006/relationships/hyperlink" Target="North_Coal_ERP_Planning_Policy_Forms.xlsx" TargetMode="External"/><Relationship Id="rId11" Type="http://schemas.openxmlformats.org/officeDocument/2006/relationships/hyperlink" Target="North_Coal_ERP_Planning_Policy_Forms.xlsx" TargetMode="External"/><Relationship Id="rId5" Type="http://schemas.openxmlformats.org/officeDocument/2006/relationships/hyperlink" Target="North_Coal_ERP_Planning_Policy_Forms.xlsx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North_Coal_ERP_Planning_Policy_Forms.xlsx" TargetMode="External"/><Relationship Id="rId4" Type="http://schemas.openxmlformats.org/officeDocument/2006/relationships/hyperlink" Target="North_Coal_ERP_Planning_Policy_Forms.xlsx" TargetMode="External"/><Relationship Id="rId9" Type="http://schemas.openxmlformats.org/officeDocument/2006/relationships/hyperlink" Target="North_Coal_ERP_Planning_Policy_Forms.xlsx" TargetMode="External"/><Relationship Id="rId14" Type="http://schemas.openxmlformats.org/officeDocument/2006/relationships/hyperlink" Target="North_Coal_ERP_Planning_Policy_Forms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  <pageSetUpPr fitToPage="1"/>
  </sheetPr>
  <dimension ref="A1:D34"/>
  <sheetViews>
    <sheetView showGridLines="0" tabSelected="1" zoomScaleNormal="100" workbookViewId="0">
      <selection sqref="A1:D1"/>
    </sheetView>
  </sheetViews>
  <sheetFormatPr defaultColWidth="8.68359375" defaultRowHeight="14.4" x14ac:dyDescent="0.55000000000000004"/>
  <cols>
    <col min="1" max="1" width="12" customWidth="1"/>
    <col min="2" max="2" width="34" customWidth="1"/>
    <col min="3" max="3" width="86" customWidth="1"/>
    <col min="4" max="4" width="30" customWidth="1"/>
  </cols>
  <sheetData>
    <row r="1" spans="1:4" ht="18" customHeight="1" x14ac:dyDescent="0.55000000000000004">
      <c r="A1" s="12" t="s">
        <v>0</v>
      </c>
      <c r="B1" s="12"/>
      <c r="C1" s="12"/>
      <c r="D1" s="12"/>
    </row>
    <row r="2" spans="1:4" ht="18" customHeight="1" x14ac:dyDescent="0.55000000000000004">
      <c r="A2" s="11" t="s">
        <v>1</v>
      </c>
      <c r="B2" s="11"/>
      <c r="C2" s="11"/>
      <c r="D2" s="11"/>
    </row>
    <row r="3" spans="1:4" ht="18" customHeight="1" x14ac:dyDescent="0.55000000000000004">
      <c r="A3" s="10" t="s">
        <v>2</v>
      </c>
      <c r="B3" s="10"/>
      <c r="C3" s="10"/>
      <c r="D3" s="10"/>
    </row>
    <row r="5" spans="1:4" ht="18" customHeight="1" x14ac:dyDescent="0.55000000000000004">
      <c r="A5" s="9" t="s">
        <v>3</v>
      </c>
      <c r="B5" s="9"/>
      <c r="C5" s="9"/>
      <c r="D5" s="9"/>
    </row>
    <row r="6" spans="1:4" ht="18" customHeight="1" x14ac:dyDescent="0.55000000000000004">
      <c r="A6" s="14" t="s">
        <v>4</v>
      </c>
      <c r="B6" s="8" t="s">
        <v>5</v>
      </c>
      <c r="C6" s="8"/>
      <c r="D6" s="8"/>
    </row>
    <row r="7" spans="1:4" ht="18" customHeight="1" x14ac:dyDescent="0.55000000000000004">
      <c r="A7" s="16" t="s">
        <v>6</v>
      </c>
      <c r="B7" s="8" t="s">
        <v>7</v>
      </c>
      <c r="C7" s="8"/>
      <c r="D7" s="8"/>
    </row>
    <row r="8" spans="1:4" ht="18" customHeight="1" x14ac:dyDescent="0.55000000000000004">
      <c r="A8" s="17" t="s">
        <v>8</v>
      </c>
      <c r="B8" s="8" t="s">
        <v>9</v>
      </c>
      <c r="C8" s="8"/>
      <c r="D8" s="8"/>
    </row>
    <row r="9" spans="1:4" ht="18" customHeight="1" x14ac:dyDescent="0.55000000000000004">
      <c r="A9" s="18" t="s">
        <v>10</v>
      </c>
      <c r="B9" s="8" t="s">
        <v>11</v>
      </c>
      <c r="C9" s="8"/>
      <c r="D9" s="8"/>
    </row>
    <row r="11" spans="1:4" ht="24" customHeight="1" x14ac:dyDescent="0.55000000000000004">
      <c r="A11" s="19" t="s">
        <v>12</v>
      </c>
      <c r="B11" s="19" t="s">
        <v>13</v>
      </c>
      <c r="C11" s="19" t="s">
        <v>14</v>
      </c>
      <c r="D11" s="19" t="s">
        <v>15</v>
      </c>
    </row>
    <row r="12" spans="1:4" ht="30.75" customHeight="1" x14ac:dyDescent="0.55000000000000004">
      <c r="A12" s="20" t="s">
        <v>16</v>
      </c>
      <c r="B12" s="21" t="s">
        <v>17</v>
      </c>
      <c r="C12" s="15" t="s">
        <v>18</v>
      </c>
      <c r="D12" s="22" t="s">
        <v>19</v>
      </c>
    </row>
    <row r="13" spans="1:4" ht="19.5" customHeight="1" x14ac:dyDescent="0.55000000000000004">
      <c r="A13" s="20" t="s">
        <v>20</v>
      </c>
      <c r="B13" s="21" t="s">
        <v>21</v>
      </c>
      <c r="C13" s="15" t="s">
        <v>22</v>
      </c>
      <c r="D13" s="22" t="s">
        <v>23</v>
      </c>
    </row>
    <row r="14" spans="1:4" ht="19.5" customHeight="1" x14ac:dyDescent="0.55000000000000004">
      <c r="A14" s="20" t="s">
        <v>24</v>
      </c>
      <c r="B14" s="21" t="s">
        <v>25</v>
      </c>
      <c r="C14" s="15" t="s">
        <v>26</v>
      </c>
      <c r="D14" s="22" t="s">
        <v>27</v>
      </c>
    </row>
    <row r="15" spans="1:4" ht="30.75" customHeight="1" x14ac:dyDescent="0.55000000000000004">
      <c r="A15" s="20" t="s">
        <v>28</v>
      </c>
      <c r="B15" s="21" t="s">
        <v>29</v>
      </c>
      <c r="C15" s="15" t="s">
        <v>30</v>
      </c>
      <c r="D15" s="22" t="s">
        <v>31</v>
      </c>
    </row>
    <row r="16" spans="1:4" ht="30.75" customHeight="1" x14ac:dyDescent="0.55000000000000004">
      <c r="A16" s="20" t="s">
        <v>32</v>
      </c>
      <c r="B16" s="21" t="s">
        <v>33</v>
      </c>
      <c r="C16" s="15" t="s">
        <v>34</v>
      </c>
      <c r="D16" s="22" t="s">
        <v>35</v>
      </c>
    </row>
    <row r="17" spans="1:4" ht="19.5" customHeight="1" x14ac:dyDescent="0.55000000000000004">
      <c r="A17" s="20" t="s">
        <v>36</v>
      </c>
      <c r="B17" s="21" t="s">
        <v>37</v>
      </c>
      <c r="C17" s="15" t="s">
        <v>38</v>
      </c>
      <c r="D17" s="22" t="s">
        <v>39</v>
      </c>
    </row>
    <row r="18" spans="1:4" ht="30.75" customHeight="1" x14ac:dyDescent="0.55000000000000004">
      <c r="A18" s="20" t="s">
        <v>40</v>
      </c>
      <c r="B18" s="21" t="s">
        <v>41</v>
      </c>
      <c r="C18" s="15" t="s">
        <v>42</v>
      </c>
      <c r="D18" s="22" t="s">
        <v>43</v>
      </c>
    </row>
    <row r="19" spans="1:4" ht="30.75" customHeight="1" x14ac:dyDescent="0.55000000000000004">
      <c r="A19" s="20" t="s">
        <v>44</v>
      </c>
      <c r="B19" s="21" t="s">
        <v>45</v>
      </c>
      <c r="C19" s="15" t="s">
        <v>46</v>
      </c>
      <c r="D19" s="22" t="s">
        <v>47</v>
      </c>
    </row>
    <row r="20" spans="1:4" ht="30.75" customHeight="1" x14ac:dyDescent="0.55000000000000004">
      <c r="A20" s="20" t="s">
        <v>48</v>
      </c>
      <c r="B20" s="21" t="s">
        <v>49</v>
      </c>
      <c r="C20" s="15" t="s">
        <v>50</v>
      </c>
      <c r="D20" s="22" t="s">
        <v>51</v>
      </c>
    </row>
    <row r="21" spans="1:4" ht="30.75" customHeight="1" x14ac:dyDescent="0.55000000000000004">
      <c r="A21" s="20" t="s">
        <v>52</v>
      </c>
      <c r="B21" s="21" t="s">
        <v>53</v>
      </c>
      <c r="C21" s="15" t="s">
        <v>54</v>
      </c>
      <c r="D21" s="22" t="s">
        <v>55</v>
      </c>
    </row>
    <row r="22" spans="1:4" ht="30.75" customHeight="1" x14ac:dyDescent="0.55000000000000004">
      <c r="A22" s="20" t="s">
        <v>56</v>
      </c>
      <c r="B22" s="21" t="s">
        <v>57</v>
      </c>
      <c r="C22" s="15" t="s">
        <v>58</v>
      </c>
      <c r="D22" s="22" t="s">
        <v>59</v>
      </c>
    </row>
    <row r="23" spans="1:4" ht="30.75" customHeight="1" x14ac:dyDescent="0.55000000000000004">
      <c r="A23" s="20" t="s">
        <v>60</v>
      </c>
      <c r="B23" s="21" t="s">
        <v>61</v>
      </c>
      <c r="C23" s="15" t="s">
        <v>62</v>
      </c>
      <c r="D23" s="22" t="s">
        <v>63</v>
      </c>
    </row>
    <row r="24" spans="1:4" ht="19.5" customHeight="1" x14ac:dyDescent="0.55000000000000004">
      <c r="A24" s="20" t="s">
        <v>64</v>
      </c>
      <c r="B24" s="21" t="s">
        <v>65</v>
      </c>
      <c r="C24" s="15" t="s">
        <v>66</v>
      </c>
      <c r="D24" s="22" t="s">
        <v>67</v>
      </c>
    </row>
    <row r="25" spans="1:4" ht="19.5" customHeight="1" x14ac:dyDescent="0.55000000000000004">
      <c r="A25" s="20" t="s">
        <v>68</v>
      </c>
      <c r="B25" s="21" t="s">
        <v>69</v>
      </c>
      <c r="C25" s="15" t="s">
        <v>70</v>
      </c>
      <c r="D25" s="22" t="s">
        <v>71</v>
      </c>
    </row>
    <row r="27" spans="1:4" ht="18" customHeight="1" x14ac:dyDescent="0.55000000000000004">
      <c r="A27" s="9" t="s">
        <v>72</v>
      </c>
      <c r="B27" s="9"/>
      <c r="C27" s="9"/>
      <c r="D27" s="9"/>
    </row>
    <row r="28" spans="1:4" ht="27.75" customHeight="1" x14ac:dyDescent="0.55000000000000004">
      <c r="A28" s="7" t="s">
        <v>73</v>
      </c>
      <c r="B28" s="7"/>
      <c r="C28" s="7"/>
      <c r="D28" s="7"/>
    </row>
    <row r="29" spans="1:4" ht="30.75" customHeight="1" x14ac:dyDescent="0.55000000000000004">
      <c r="A29" s="7" t="s">
        <v>74</v>
      </c>
      <c r="B29" s="7"/>
      <c r="C29" s="7"/>
      <c r="D29" s="7"/>
    </row>
    <row r="30" spans="1:4" ht="30.75" customHeight="1" x14ac:dyDescent="0.55000000000000004">
      <c r="A30" s="7" t="s">
        <v>75</v>
      </c>
      <c r="B30" s="7"/>
      <c r="C30" s="7"/>
      <c r="D30" s="7"/>
    </row>
    <row r="31" spans="1:4" ht="30.75" customHeight="1" x14ac:dyDescent="0.55000000000000004">
      <c r="A31" s="7" t="s">
        <v>76</v>
      </c>
      <c r="B31" s="7"/>
      <c r="C31" s="7"/>
      <c r="D31" s="7"/>
    </row>
    <row r="32" spans="1:4" ht="30.75" customHeight="1" x14ac:dyDescent="0.55000000000000004">
      <c r="A32" s="7" t="s">
        <v>77</v>
      </c>
      <c r="B32" s="7"/>
      <c r="C32" s="7"/>
      <c r="D32" s="7"/>
    </row>
    <row r="33" spans="1:4" ht="27.75" customHeight="1" x14ac:dyDescent="0.55000000000000004">
      <c r="A33" s="7" t="s">
        <v>78</v>
      </c>
      <c r="B33" s="7"/>
      <c r="C33" s="7"/>
      <c r="D33" s="7"/>
    </row>
    <row r="34" spans="1:4" ht="27.75" customHeight="1" x14ac:dyDescent="0.55000000000000004">
      <c r="A34" s="7" t="s">
        <v>79</v>
      </c>
      <c r="B34" s="7"/>
      <c r="C34" s="7"/>
      <c r="D34" s="7"/>
    </row>
  </sheetData>
  <mergeCells count="16">
    <mergeCell ref="A34:D34"/>
    <mergeCell ref="A29:D29"/>
    <mergeCell ref="A30:D30"/>
    <mergeCell ref="A31:D31"/>
    <mergeCell ref="A32:D32"/>
    <mergeCell ref="A33:D33"/>
    <mergeCell ref="B7:D7"/>
    <mergeCell ref="B8:D8"/>
    <mergeCell ref="B9:D9"/>
    <mergeCell ref="A27:D27"/>
    <mergeCell ref="A28:D28"/>
    <mergeCell ref="A1:D1"/>
    <mergeCell ref="A2:D2"/>
    <mergeCell ref="A3:D3"/>
    <mergeCell ref="A5:D5"/>
    <mergeCell ref="B6:D6"/>
  </mergeCells>
  <hyperlinks>
    <hyperlink ref="B12" r:id="rId1" location="'PL-01%20Plan%20Item%20Creation'!A1" xr:uid="{00000000-0004-0000-0000-000000000000}"/>
    <hyperlink ref="B13" r:id="rId2" location="'PL-02%20Plan%20Approval%20Record'!A1" xr:uid="{00000000-0004-0000-0000-000001000000}"/>
    <hyperlink ref="B14" r:id="rId3" location="'PL-03%20Operational%20Plan'!A1" xr:uid="{00000000-0004-0000-0000-000002000000}"/>
    <hyperlink ref="B15" r:id="rId4" location="'PL-04%20Financial%20Plan'!A1" xr:uid="{00000000-0004-0000-0000-000003000000}"/>
    <hyperlink ref="B16" r:id="rId5" location="'PL-05%20Actual%20Volume%20Entry'!A1" xr:uid="{00000000-0004-0000-0000-000004000000}"/>
    <hyperlink ref="B17" r:id="rId6" location="'PL-06%20Variance%20Analysis'!A1" xr:uid="{00000000-0004-0000-0000-000005000000}"/>
    <hyperlink ref="B18" r:id="rId7" location="'PL-07%20Alert%20Parameters%20&amp;%20Log'!A1" xr:uid="{00000000-0004-0000-0000-000006000000}"/>
    <hyperlink ref="B19" r:id="rId8" location="'PL-08%20Actual%20vs%20Planned%20P&amp;L'!A1" xr:uid="{00000000-0004-0000-0000-000007000000}"/>
    <hyperlink ref="B20" r:id="rId9" location="'PL-09%20Plan%20Amendment%20Request'!A1" xr:uid="{00000000-0004-0000-0000-000008000000}"/>
    <hyperlink ref="B21" r:id="rId10" location="'PL-10%20Correspondence%20Register'!A1" xr:uid="{00000000-0004-0000-0000-000009000000}"/>
    <hyperlink ref="B22" r:id="rId11" location="'PL-11%20Correction%20Request'!A1" xr:uid="{00000000-0004-0000-0000-00000A000000}"/>
    <hyperlink ref="B23" r:id="rId12" location="'PL-12%20Approval%20Matrix'!A1" xr:uid="{00000000-0004-0000-0000-00000B000000}"/>
    <hyperlink ref="B24" r:id="rId13" location="'PL-13%20Data%20Sources%20&amp;%20Logic'!A1" xr:uid="{00000000-0004-0000-0000-00000C000000}"/>
    <hyperlink ref="B25" r:id="rId14" location="'PL-14%20Reports%20Spec'!A1" xr:uid="{00000000-0004-0000-0000-00000D000000}"/>
  </hyperlinks>
  <pageMargins left="0.5" right="0.5" top="1" bottom="1" header="0.511811023622047" footer="0.5"/>
  <pageSetup paperSize="9" scale="84" fitToHeight="0" orientation="landscape" horizontalDpi="300" verticalDpi="300" r:id="rId15"/>
  <headerFooter>
    <oddFooter>&amp;LIndex | Crest Point Consulting Group&amp;CPage &amp;P of &amp;N&amp;RStrictly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  <pageSetUpPr fitToPage="1"/>
  </sheetPr>
  <dimension ref="A1:F32"/>
  <sheetViews>
    <sheetView showGridLines="0" zoomScaleNormal="100" workbookViewId="0"/>
  </sheetViews>
  <sheetFormatPr defaultColWidth="8.68359375" defaultRowHeight="14.4" x14ac:dyDescent="0.55000000000000004"/>
  <cols>
    <col min="1" max="1" width="7" customWidth="1"/>
    <col min="2" max="2" width="16" customWidth="1"/>
    <col min="3" max="3" width="32" customWidth="1"/>
    <col min="4" max="4" width="36" customWidth="1"/>
    <col min="5" max="6" width="17" customWidth="1"/>
  </cols>
  <sheetData>
    <row r="1" spans="1:6" ht="43.5" customHeight="1" x14ac:dyDescent="0.55000000000000004">
      <c r="A1" s="6" t="s">
        <v>80</v>
      </c>
      <c r="B1" s="6"/>
      <c r="C1" s="5" t="s">
        <v>0</v>
      </c>
      <c r="D1" s="5"/>
      <c r="E1" s="5"/>
      <c r="F1" s="5"/>
    </row>
    <row r="2" spans="1:6" ht="21.75" customHeight="1" x14ac:dyDescent="0.55000000000000004">
      <c r="A2" s="6"/>
      <c r="B2" s="6"/>
      <c r="C2" s="4" t="s">
        <v>81</v>
      </c>
      <c r="D2" s="4"/>
      <c r="E2" s="4"/>
      <c r="F2" s="4"/>
    </row>
    <row r="3" spans="1:6" ht="30.75" customHeight="1" x14ac:dyDescent="0.55000000000000004">
      <c r="A3" s="6"/>
      <c r="B3" s="6"/>
      <c r="C3" s="3" t="s">
        <v>82</v>
      </c>
      <c r="D3" s="3"/>
      <c r="E3" s="3"/>
      <c r="F3" s="3"/>
    </row>
    <row r="5" spans="1:6" ht="18" customHeight="1" x14ac:dyDescent="0.55000000000000004">
      <c r="A5" s="2" t="s">
        <v>83</v>
      </c>
      <c r="B5" s="2"/>
      <c r="C5" s="2"/>
      <c r="D5" s="2"/>
      <c r="E5" s="2"/>
      <c r="F5" s="2"/>
    </row>
    <row r="6" spans="1:6" ht="19.5" customHeight="1" x14ac:dyDescent="0.55000000000000004">
      <c r="A6" s="9" t="s">
        <v>84</v>
      </c>
      <c r="B6" s="9"/>
      <c r="C6" s="23" t="s">
        <v>85</v>
      </c>
      <c r="D6" s="13" t="s">
        <v>86</v>
      </c>
      <c r="E6" s="1">
        <v>46283</v>
      </c>
      <c r="F6" s="1"/>
    </row>
    <row r="7" spans="1:6" ht="19.5" customHeight="1" x14ac:dyDescent="0.55000000000000004">
      <c r="A7" s="9" t="s">
        <v>87</v>
      </c>
      <c r="B7" s="9"/>
      <c r="C7" s="24" t="s">
        <v>88</v>
      </c>
      <c r="D7" s="13" t="s">
        <v>89</v>
      </c>
      <c r="E7" s="42" t="s">
        <v>90</v>
      </c>
      <c r="F7" s="42"/>
    </row>
    <row r="8" spans="1:6" ht="30.75" customHeight="1" x14ac:dyDescent="0.55000000000000004">
      <c r="A8" s="9" t="s">
        <v>91</v>
      </c>
      <c r="B8" s="9"/>
      <c r="C8" s="24" t="s">
        <v>92</v>
      </c>
      <c r="D8" s="13" t="s">
        <v>93</v>
      </c>
      <c r="E8" s="42" t="s">
        <v>94</v>
      </c>
      <c r="F8" s="42"/>
    </row>
    <row r="9" spans="1:6" ht="43.5" customHeight="1" x14ac:dyDescent="0.55000000000000004">
      <c r="A9" s="9" t="s">
        <v>95</v>
      </c>
      <c r="B9" s="9"/>
      <c r="C9" s="24" t="s">
        <v>96</v>
      </c>
      <c r="D9" s="13" t="s">
        <v>97</v>
      </c>
      <c r="E9" s="43" t="str">
        <f>IF(C9="N/A","Non-financial - actuals entered manually with a reference document","Financial - actuals pulled automatically from the linked sub-account")</f>
        <v>Financial - actuals pulled automatically from the linked sub-account</v>
      </c>
      <c r="F9" s="43"/>
    </row>
    <row r="10" spans="1:6" ht="19.5" customHeight="1" x14ac:dyDescent="0.55000000000000004">
      <c r="A10" s="9" t="s">
        <v>98</v>
      </c>
      <c r="B10" s="9"/>
      <c r="C10" s="23" t="s">
        <v>99</v>
      </c>
      <c r="D10" s="13" t="s">
        <v>100</v>
      </c>
      <c r="E10" s="43" t="s">
        <v>101</v>
      </c>
      <c r="F10" s="43"/>
    </row>
    <row r="11" spans="1:6" ht="30" customHeight="1" x14ac:dyDescent="0.55000000000000004">
      <c r="A11" s="9" t="s">
        <v>102</v>
      </c>
      <c r="B11" s="9"/>
      <c r="C11" s="43" t="str">
        <f>IF(AND(E8="AFN",C9="N/A"),"ERROR: a financial item must be linked to a Chart of Accounts sub-account",IF(AND(E8&lt;&gt;"AFN",C9&lt;&gt;"N/A"),"ERROR: a physical metric (tonnes / cubic metres) must be set to N/A",IF(OR(C7="",E7="",C8="",C9=""),"ERROR: all five parameters are mandatory","OK")))</f>
        <v>OK</v>
      </c>
      <c r="D11" s="43"/>
      <c r="E11" s="43"/>
      <c r="F11" s="43"/>
    </row>
    <row r="13" spans="1:6" ht="18" customHeight="1" x14ac:dyDescent="0.55000000000000004">
      <c r="A13" s="2" t="s">
        <v>103</v>
      </c>
      <c r="B13" s="2"/>
      <c r="C13" s="2"/>
      <c r="D13" s="2"/>
      <c r="E13" s="2"/>
      <c r="F13" s="2"/>
    </row>
    <row r="14" spans="1:6" ht="27.75" customHeight="1" x14ac:dyDescent="0.55000000000000004">
      <c r="A14" s="19" t="s">
        <v>104</v>
      </c>
      <c r="B14" s="19" t="s">
        <v>105</v>
      </c>
      <c r="C14" s="19" t="s">
        <v>106</v>
      </c>
      <c r="D14" s="19" t="s">
        <v>91</v>
      </c>
      <c r="E14" s="19" t="s">
        <v>107</v>
      </c>
      <c r="F14" s="19" t="s">
        <v>108</v>
      </c>
    </row>
    <row r="15" spans="1:6" ht="24" customHeight="1" x14ac:dyDescent="0.55000000000000004">
      <c r="A15" s="20">
        <v>1</v>
      </c>
      <c r="B15" s="24" t="s">
        <v>90</v>
      </c>
      <c r="C15" s="24" t="s">
        <v>109</v>
      </c>
      <c r="D15" s="24" t="s">
        <v>110</v>
      </c>
      <c r="E15" s="24" t="s">
        <v>111</v>
      </c>
      <c r="F15" s="24" t="s">
        <v>112</v>
      </c>
    </row>
    <row r="16" spans="1:6" ht="24" customHeight="1" x14ac:dyDescent="0.55000000000000004">
      <c r="A16" s="20">
        <v>2</v>
      </c>
      <c r="B16" s="24" t="s">
        <v>90</v>
      </c>
      <c r="C16" s="24" t="s">
        <v>113</v>
      </c>
      <c r="D16" s="24" t="s">
        <v>110</v>
      </c>
      <c r="E16" s="24" t="s">
        <v>111</v>
      </c>
      <c r="F16" s="24" t="s">
        <v>114</v>
      </c>
    </row>
    <row r="17" spans="1:6" ht="30.75" customHeight="1" x14ac:dyDescent="0.55000000000000004">
      <c r="A17" s="20">
        <v>3</v>
      </c>
      <c r="B17" s="24" t="s">
        <v>90</v>
      </c>
      <c r="C17" s="24" t="s">
        <v>115</v>
      </c>
      <c r="D17" s="24" t="s">
        <v>116</v>
      </c>
      <c r="E17" s="24" t="s">
        <v>117</v>
      </c>
      <c r="F17" s="24" t="s">
        <v>94</v>
      </c>
    </row>
    <row r="18" spans="1:6" ht="30.75" customHeight="1" x14ac:dyDescent="0.55000000000000004">
      <c r="A18" s="20">
        <v>4</v>
      </c>
      <c r="B18" s="24" t="s">
        <v>118</v>
      </c>
      <c r="C18" s="24" t="s">
        <v>119</v>
      </c>
      <c r="D18" s="24" t="s">
        <v>120</v>
      </c>
      <c r="E18" s="24" t="s">
        <v>121</v>
      </c>
      <c r="F18" s="24" t="s">
        <v>94</v>
      </c>
    </row>
    <row r="19" spans="1:6" ht="30.75" customHeight="1" x14ac:dyDescent="0.55000000000000004">
      <c r="A19" s="20">
        <v>5</v>
      </c>
      <c r="B19" s="24" t="s">
        <v>118</v>
      </c>
      <c r="C19" s="24" t="s">
        <v>122</v>
      </c>
      <c r="D19" s="24" t="s">
        <v>123</v>
      </c>
      <c r="E19" s="24" t="s">
        <v>124</v>
      </c>
      <c r="F19" s="24" t="s">
        <v>94</v>
      </c>
    </row>
    <row r="20" spans="1:6" ht="43.5" customHeight="1" x14ac:dyDescent="0.55000000000000004">
      <c r="A20" s="20">
        <v>6</v>
      </c>
      <c r="B20" s="24" t="s">
        <v>90</v>
      </c>
      <c r="C20" s="24" t="s">
        <v>125</v>
      </c>
      <c r="D20" s="24" t="s">
        <v>126</v>
      </c>
      <c r="E20" s="24" t="s">
        <v>127</v>
      </c>
      <c r="F20" s="24" t="s">
        <v>94</v>
      </c>
    </row>
    <row r="22" spans="1:6" ht="30.75" customHeight="1" x14ac:dyDescent="0.55000000000000004">
      <c r="A22" s="44" t="s">
        <v>128</v>
      </c>
      <c r="B22" s="44"/>
      <c r="C22" s="44"/>
      <c r="D22" s="44"/>
      <c r="E22" s="44"/>
      <c r="F22" s="44"/>
    </row>
    <row r="23" spans="1:6" ht="19.5" customHeight="1" x14ac:dyDescent="0.55000000000000004">
      <c r="A23" s="8" t="s">
        <v>129</v>
      </c>
      <c r="B23" s="8"/>
      <c r="C23" s="8"/>
      <c r="D23" s="8"/>
      <c r="E23" s="8"/>
      <c r="F23" s="8"/>
    </row>
    <row r="24" spans="1:6" ht="19.5" customHeight="1" x14ac:dyDescent="0.55000000000000004">
      <c r="A24" s="8" t="s">
        <v>130</v>
      </c>
      <c r="B24" s="8"/>
      <c r="C24" s="8"/>
      <c r="D24" s="8"/>
      <c r="E24" s="8"/>
      <c r="F24" s="8"/>
    </row>
    <row r="25" spans="1:6" ht="43.5" customHeight="1" x14ac:dyDescent="0.55000000000000004">
      <c r="A25" s="45" t="s">
        <v>131</v>
      </c>
      <c r="B25" s="45"/>
      <c r="C25" s="45"/>
      <c r="D25" s="45"/>
      <c r="E25" s="45"/>
      <c r="F25" s="45"/>
    </row>
    <row r="26" spans="1:6" ht="19.5" customHeight="1" x14ac:dyDescent="0.55000000000000004">
      <c r="A26" s="8" t="s">
        <v>132</v>
      </c>
      <c r="B26" s="8"/>
      <c r="C26" s="8"/>
      <c r="D26" s="8"/>
      <c r="E26" s="8"/>
      <c r="F26" s="8"/>
    </row>
    <row r="28" spans="1:6" ht="18" customHeight="1" x14ac:dyDescent="0.55000000000000004">
      <c r="A28" s="9" t="s">
        <v>133</v>
      </c>
      <c r="B28" s="9"/>
      <c r="C28" s="9"/>
      <c r="D28" s="9"/>
      <c r="E28" s="9"/>
      <c r="F28" s="9"/>
    </row>
    <row r="29" spans="1:6" ht="33.75" customHeight="1" x14ac:dyDescent="0.55000000000000004">
      <c r="A29" s="7" t="s">
        <v>134</v>
      </c>
      <c r="B29" s="7"/>
      <c r="C29" s="7"/>
      <c r="D29" s="7"/>
      <c r="E29" s="7"/>
      <c r="F29" s="7"/>
    </row>
    <row r="30" spans="1:6" ht="43.5" customHeight="1" x14ac:dyDescent="0.55000000000000004">
      <c r="A30" s="7" t="s">
        <v>135</v>
      </c>
      <c r="B30" s="7"/>
      <c r="C30" s="7"/>
      <c r="D30" s="7"/>
      <c r="E30" s="7"/>
      <c r="F30" s="7"/>
    </row>
    <row r="31" spans="1:6" ht="33.75" customHeight="1" x14ac:dyDescent="0.55000000000000004">
      <c r="A31" s="7" t="s">
        <v>136</v>
      </c>
      <c r="B31" s="7"/>
      <c r="C31" s="7"/>
      <c r="D31" s="7"/>
      <c r="E31" s="7"/>
      <c r="F31" s="7"/>
    </row>
    <row r="32" spans="1:6" ht="33.75" customHeight="1" x14ac:dyDescent="0.55000000000000004">
      <c r="A32" s="7" t="s">
        <v>137</v>
      </c>
      <c r="B32" s="7"/>
      <c r="C32" s="7"/>
      <c r="D32" s="7"/>
      <c r="E32" s="7"/>
      <c r="F32" s="7"/>
    </row>
  </sheetData>
  <mergeCells count="28">
    <mergeCell ref="A32:F32"/>
    <mergeCell ref="A26:F26"/>
    <mergeCell ref="A28:F28"/>
    <mergeCell ref="A29:F29"/>
    <mergeCell ref="A30:F30"/>
    <mergeCell ref="A31:F31"/>
    <mergeCell ref="A13:F13"/>
    <mergeCell ref="A22:F22"/>
    <mergeCell ref="A23:F23"/>
    <mergeCell ref="A24:F24"/>
    <mergeCell ref="A25:F25"/>
    <mergeCell ref="A9:B9"/>
    <mergeCell ref="E9:F9"/>
    <mergeCell ref="A10:B10"/>
    <mergeCell ref="E10:F10"/>
    <mergeCell ref="A11:B11"/>
    <mergeCell ref="C11:F11"/>
    <mergeCell ref="A6:B6"/>
    <mergeCell ref="E6:F6"/>
    <mergeCell ref="A7:B7"/>
    <mergeCell ref="E7:F7"/>
    <mergeCell ref="A8:B8"/>
    <mergeCell ref="E8:F8"/>
    <mergeCell ref="A1:B3"/>
    <mergeCell ref="C1:F1"/>
    <mergeCell ref="C2:F2"/>
    <mergeCell ref="C3:F3"/>
    <mergeCell ref="A5:F5"/>
  </mergeCells>
  <dataValidations count="3">
    <dataValidation type="list" allowBlank="1" sqref="E7" xr:uid="{00000000-0002-0000-0100-000000000000}">
      <formula1>"HQ,Second Unit A,Second Unit B,Second Unit C"</formula1>
      <formula2>0</formula2>
    </dataValidation>
    <dataValidation type="list" allowBlank="1" sqref="C8" xr:uid="{00000000-0002-0000-0100-000001000000}">
      <formula1>"Main Core Revenue,Non-Core Revenue,Direct Cost,Indirect Cost,CAPEX,N/A - Operational metric (see note 2)"</formula1>
      <formula2>0</formula2>
    </dataValidation>
    <dataValidation type="list" allowBlank="1" sqref="E8" xr:uid="{00000000-0002-0000-0100-000002000000}">
      <formula1>"AFN,Tonnes,Cubic metres"</formula1>
      <formula2>0</formula2>
    </dataValidation>
  </dataValidations>
  <pageMargins left="0.5" right="0.5" top="1" bottom="1" header="0.511811023622047" footer="0.5"/>
  <pageSetup paperSize="9" fitToHeight="0" orientation="portrait" horizontalDpi="300" verticalDpi="300"/>
  <headerFooter>
    <oddFooter>&amp;LPL-01 | Crest Point Consulting Group&amp;CPage &amp;P of &amp;N&amp;RStrictly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3864"/>
    <pageSetUpPr fitToPage="1"/>
  </sheetPr>
  <dimension ref="A1:F32"/>
  <sheetViews>
    <sheetView showGridLines="0" zoomScaleNormal="100" workbookViewId="0"/>
  </sheetViews>
  <sheetFormatPr defaultColWidth="8.68359375" defaultRowHeight="14.4" x14ac:dyDescent="0.55000000000000004"/>
  <cols>
    <col min="1" max="1" width="7" customWidth="1"/>
    <col min="2" max="2" width="16" customWidth="1"/>
    <col min="3" max="3" width="32" customWidth="1"/>
    <col min="4" max="4" width="36" customWidth="1"/>
    <col min="5" max="6" width="17" customWidth="1"/>
  </cols>
  <sheetData>
    <row r="1" spans="1:6" ht="43.5" customHeight="1" x14ac:dyDescent="0.55000000000000004">
      <c r="A1" s="6" t="s">
        <v>80</v>
      </c>
      <c r="B1" s="6"/>
      <c r="C1" s="5" t="s">
        <v>0</v>
      </c>
      <c r="D1" s="5"/>
      <c r="E1" s="5"/>
      <c r="F1" s="5"/>
    </row>
    <row r="2" spans="1:6" ht="21.75" customHeight="1" x14ac:dyDescent="0.55000000000000004">
      <c r="A2" s="6"/>
      <c r="B2" s="6"/>
      <c r="C2" s="4" t="s">
        <v>138</v>
      </c>
      <c r="D2" s="4"/>
      <c r="E2" s="4"/>
      <c r="F2" s="4"/>
    </row>
    <row r="3" spans="1:6" ht="30.75" customHeight="1" x14ac:dyDescent="0.55000000000000004">
      <c r="A3" s="6"/>
      <c r="B3" s="6"/>
      <c r="C3" s="3" t="s">
        <v>139</v>
      </c>
      <c r="D3" s="3"/>
      <c r="E3" s="3"/>
      <c r="F3" s="3"/>
    </row>
    <row r="5" spans="1:6" ht="18" customHeight="1" x14ac:dyDescent="0.55000000000000004">
      <c r="A5" s="2" t="s">
        <v>140</v>
      </c>
      <c r="B5" s="2"/>
      <c r="C5" s="2"/>
      <c r="D5" s="2"/>
      <c r="E5" s="2"/>
      <c r="F5" s="2"/>
    </row>
    <row r="6" spans="1:6" ht="19.5" customHeight="1" x14ac:dyDescent="0.55000000000000004">
      <c r="A6" s="9" t="s">
        <v>141</v>
      </c>
      <c r="B6" s="9"/>
      <c r="C6" s="23" t="s">
        <v>142</v>
      </c>
      <c r="D6" s="13" t="s">
        <v>143</v>
      </c>
      <c r="E6" s="42" t="s">
        <v>144</v>
      </c>
      <c r="F6" s="42"/>
    </row>
    <row r="7" spans="1:6" ht="30.75" customHeight="1" x14ac:dyDescent="0.55000000000000004">
      <c r="A7" s="9" t="s">
        <v>145</v>
      </c>
      <c r="B7" s="9"/>
      <c r="C7" s="24" t="s">
        <v>146</v>
      </c>
      <c r="D7" s="13" t="s">
        <v>147</v>
      </c>
      <c r="E7" s="42" t="s">
        <v>148</v>
      </c>
      <c r="F7" s="42"/>
    </row>
    <row r="8" spans="1:6" ht="19.5" customHeight="1" x14ac:dyDescent="0.55000000000000004">
      <c r="A8" s="9" t="s">
        <v>149</v>
      </c>
      <c r="B8" s="9"/>
      <c r="C8" s="23" t="s">
        <v>101</v>
      </c>
      <c r="D8" s="13" t="s">
        <v>150</v>
      </c>
      <c r="E8" s="1">
        <v>46290</v>
      </c>
      <c r="F8" s="1"/>
    </row>
    <row r="10" spans="1:6" ht="18" customHeight="1" x14ac:dyDescent="0.55000000000000004">
      <c r="A10" s="2" t="s">
        <v>151</v>
      </c>
      <c r="B10" s="2"/>
      <c r="C10" s="2"/>
      <c r="D10" s="2"/>
      <c r="E10" s="2"/>
      <c r="F10" s="2"/>
    </row>
    <row r="11" spans="1:6" ht="18" customHeight="1" x14ac:dyDescent="0.55000000000000004">
      <c r="A11" s="25" t="s">
        <v>104</v>
      </c>
      <c r="B11" s="9" t="s">
        <v>152</v>
      </c>
      <c r="C11" s="9"/>
      <c r="D11" s="9"/>
      <c r="E11" s="25" t="s">
        <v>153</v>
      </c>
      <c r="F11" s="13" t="s">
        <v>154</v>
      </c>
    </row>
    <row r="12" spans="1:6" ht="25.5" customHeight="1" x14ac:dyDescent="0.55000000000000004">
      <c r="A12" s="20">
        <v>1</v>
      </c>
      <c r="B12" s="8" t="s">
        <v>155</v>
      </c>
      <c r="C12" s="8"/>
      <c r="D12" s="8"/>
      <c r="E12" s="14" t="s">
        <v>156</v>
      </c>
      <c r="F12" s="24"/>
    </row>
    <row r="13" spans="1:6" ht="25.5" customHeight="1" x14ac:dyDescent="0.55000000000000004">
      <c r="A13" s="20">
        <v>2</v>
      </c>
      <c r="B13" s="8" t="s">
        <v>157</v>
      </c>
      <c r="C13" s="8"/>
      <c r="D13" s="8"/>
      <c r="E13" s="14" t="s">
        <v>156</v>
      </c>
      <c r="F13" s="24"/>
    </row>
    <row r="14" spans="1:6" ht="25.5" customHeight="1" x14ac:dyDescent="0.55000000000000004">
      <c r="A14" s="20">
        <v>3</v>
      </c>
      <c r="B14" s="8" t="s">
        <v>158</v>
      </c>
      <c r="C14" s="8"/>
      <c r="D14" s="8"/>
      <c r="E14" s="14" t="s">
        <v>156</v>
      </c>
      <c r="F14" s="24"/>
    </row>
    <row r="15" spans="1:6" ht="25.5" customHeight="1" x14ac:dyDescent="0.55000000000000004">
      <c r="A15" s="20">
        <v>4</v>
      </c>
      <c r="B15" s="8" t="s">
        <v>159</v>
      </c>
      <c r="C15" s="8"/>
      <c r="D15" s="8"/>
      <c r="E15" s="14" t="s">
        <v>156</v>
      </c>
      <c r="F15" s="24"/>
    </row>
    <row r="17" spans="1:6" ht="18" customHeight="1" x14ac:dyDescent="0.55000000000000004">
      <c r="A17" s="2" t="s">
        <v>160</v>
      </c>
      <c r="B17" s="2"/>
      <c r="C17" s="2"/>
      <c r="D17" s="2"/>
      <c r="E17" s="2"/>
      <c r="F17" s="2"/>
    </row>
    <row r="18" spans="1:6" ht="55.5" customHeight="1" x14ac:dyDescent="0.55000000000000004">
      <c r="A18" s="9" t="s">
        <v>161</v>
      </c>
      <c r="B18" s="9"/>
      <c r="C18" s="24" t="s">
        <v>162</v>
      </c>
      <c r="D18" s="13" t="s">
        <v>163</v>
      </c>
      <c r="E18" s="46">
        <v>46293</v>
      </c>
      <c r="F18" s="46"/>
    </row>
    <row r="19" spans="1:6" ht="30.75" customHeight="1" x14ac:dyDescent="0.55000000000000004">
      <c r="A19" s="9" t="s">
        <v>164</v>
      </c>
      <c r="B19" s="9"/>
      <c r="C19" s="24" t="s">
        <v>165</v>
      </c>
      <c r="D19" s="13" t="s">
        <v>166</v>
      </c>
      <c r="E19" s="1">
        <v>46294</v>
      </c>
      <c r="F19" s="1"/>
    </row>
    <row r="20" spans="1:6" ht="36" customHeight="1" x14ac:dyDescent="0.55000000000000004">
      <c r="A20" s="9" t="s">
        <v>167</v>
      </c>
      <c r="B20" s="9"/>
      <c r="C20" s="43" t="str">
        <f>IF(AND(C19="Approved",COUNTIF(E12:E15,"No")=0,C18&lt;&gt;""),"ACTIVE - tracking begins; plan cannot be edited except through the Plan Amendment protocol",IF(C19="Approved","BLOCKED - completeness checks or ED approval reference missing","Not active - returned to the Planning Officer"))</f>
        <v>ACTIVE - tracking begins; plan cannot be edited except through the Plan Amendment protocol</v>
      </c>
      <c r="D20" s="43"/>
      <c r="E20" s="43"/>
      <c r="F20" s="43"/>
    </row>
    <row r="22" spans="1:6" ht="30.75" customHeight="1" x14ac:dyDescent="0.55000000000000004">
      <c r="A22" s="44" t="s">
        <v>128</v>
      </c>
      <c r="B22" s="44"/>
      <c r="C22" s="44"/>
      <c r="D22" s="44" t="s">
        <v>168</v>
      </c>
      <c r="E22" s="44"/>
      <c r="F22" s="44"/>
    </row>
    <row r="23" spans="1:6" ht="19.5" customHeight="1" x14ac:dyDescent="0.55000000000000004">
      <c r="A23" s="8" t="s">
        <v>129</v>
      </c>
      <c r="B23" s="8"/>
      <c r="C23" s="8"/>
      <c r="D23" s="8" t="s">
        <v>129</v>
      </c>
      <c r="E23" s="8"/>
      <c r="F23" s="8"/>
    </row>
    <row r="24" spans="1:6" ht="19.5" customHeight="1" x14ac:dyDescent="0.55000000000000004">
      <c r="A24" s="8" t="s">
        <v>130</v>
      </c>
      <c r="B24" s="8"/>
      <c r="C24" s="8"/>
      <c r="D24" s="8" t="s">
        <v>130</v>
      </c>
      <c r="E24" s="8"/>
      <c r="F24" s="8"/>
    </row>
    <row r="25" spans="1:6" ht="43.5" customHeight="1" x14ac:dyDescent="0.55000000000000004">
      <c r="A25" s="45" t="s">
        <v>131</v>
      </c>
      <c r="B25" s="45"/>
      <c r="C25" s="45"/>
      <c r="D25" s="45" t="s">
        <v>131</v>
      </c>
      <c r="E25" s="45"/>
      <c r="F25" s="45"/>
    </row>
    <row r="26" spans="1:6" ht="19.5" customHeight="1" x14ac:dyDescent="0.55000000000000004">
      <c r="A26" s="8" t="s">
        <v>132</v>
      </c>
      <c r="B26" s="8"/>
      <c r="C26" s="8"/>
      <c r="D26" s="8" t="s">
        <v>132</v>
      </c>
      <c r="E26" s="8"/>
      <c r="F26" s="8"/>
    </row>
    <row r="28" spans="1:6" ht="18" customHeight="1" x14ac:dyDescent="0.55000000000000004">
      <c r="A28" s="9" t="s">
        <v>133</v>
      </c>
      <c r="B28" s="9"/>
      <c r="C28" s="9"/>
      <c r="D28" s="9"/>
      <c r="E28" s="9"/>
      <c r="F28" s="9"/>
    </row>
    <row r="29" spans="1:6" ht="36" customHeight="1" x14ac:dyDescent="0.55000000000000004">
      <c r="A29" s="7" t="s">
        <v>169</v>
      </c>
      <c r="B29" s="7"/>
      <c r="C29" s="7"/>
      <c r="D29" s="7"/>
      <c r="E29" s="7"/>
      <c r="F29" s="7"/>
    </row>
    <row r="30" spans="1:6" ht="43.5" customHeight="1" x14ac:dyDescent="0.55000000000000004">
      <c r="A30" s="7" t="s">
        <v>170</v>
      </c>
      <c r="B30" s="7"/>
      <c r="C30" s="7"/>
      <c r="D30" s="7"/>
      <c r="E30" s="7"/>
      <c r="F30" s="7"/>
    </row>
    <row r="31" spans="1:6" ht="36" customHeight="1" x14ac:dyDescent="0.55000000000000004">
      <c r="A31" s="7" t="s">
        <v>171</v>
      </c>
      <c r="B31" s="7"/>
      <c r="C31" s="7"/>
      <c r="D31" s="7"/>
      <c r="E31" s="7"/>
      <c r="F31" s="7"/>
    </row>
    <row r="32" spans="1:6" ht="43.5" customHeight="1" x14ac:dyDescent="0.55000000000000004">
      <c r="A32" s="7" t="s">
        <v>172</v>
      </c>
      <c r="B32" s="7"/>
      <c r="C32" s="7"/>
      <c r="D32" s="7"/>
      <c r="E32" s="7"/>
      <c r="F32" s="7"/>
    </row>
  </sheetData>
  <mergeCells count="39">
    <mergeCell ref="A28:F28"/>
    <mergeCell ref="A29:F29"/>
    <mergeCell ref="A30:F30"/>
    <mergeCell ref="A31:F31"/>
    <mergeCell ref="A32:F32"/>
    <mergeCell ref="A24:C24"/>
    <mergeCell ref="D24:F24"/>
    <mergeCell ref="A25:C25"/>
    <mergeCell ref="D25:F25"/>
    <mergeCell ref="A26:C26"/>
    <mergeCell ref="D26:F26"/>
    <mergeCell ref="A20:B20"/>
    <mergeCell ref="C20:F20"/>
    <mergeCell ref="A22:C22"/>
    <mergeCell ref="D22:F22"/>
    <mergeCell ref="A23:C23"/>
    <mergeCell ref="D23:F23"/>
    <mergeCell ref="B15:D15"/>
    <mergeCell ref="A17:F17"/>
    <mergeCell ref="A18:B18"/>
    <mergeCell ref="E18:F18"/>
    <mergeCell ref="A19:B19"/>
    <mergeCell ref="E19:F19"/>
    <mergeCell ref="A10:F10"/>
    <mergeCell ref="B11:D11"/>
    <mergeCell ref="B12:D12"/>
    <mergeCell ref="B13:D13"/>
    <mergeCell ref="B14:D14"/>
    <mergeCell ref="A6:B6"/>
    <mergeCell ref="E6:F6"/>
    <mergeCell ref="A7:B7"/>
    <mergeCell ref="E7:F7"/>
    <mergeCell ref="A8:B8"/>
    <mergeCell ref="E8:F8"/>
    <mergeCell ref="A1:B3"/>
    <mergeCell ref="C1:F1"/>
    <mergeCell ref="C2:F2"/>
    <mergeCell ref="C3:F3"/>
    <mergeCell ref="A5:F5"/>
  </mergeCells>
  <dataValidations count="3">
    <dataValidation type="list" allowBlank="1" sqref="C7" xr:uid="{00000000-0002-0000-0200-000000000000}">
      <formula1>"Operational (Excavation and Extraction),Financial (P&amp;L and CAPEX)"</formula1>
      <formula2>0</formula2>
    </dataValidation>
    <dataValidation type="list" allowBlank="1" sqref="E12:E15" xr:uid="{00000000-0002-0000-0200-000001000000}">
      <formula1>"Yes,No"</formula1>
      <formula2>0</formula2>
    </dataValidation>
    <dataValidation type="list" allowBlank="1" sqref="C19" xr:uid="{00000000-0002-0000-0200-000002000000}">
      <formula1>"Approved,Rejected"</formula1>
      <formula2>0</formula2>
    </dataValidation>
  </dataValidations>
  <pageMargins left="0.5" right="0.5" top="1" bottom="1" header="0.511811023622047" footer="0.5"/>
  <pageSetup paperSize="9" fitToHeight="0" orientation="portrait" horizontalDpi="300" verticalDpi="300"/>
  <headerFooter>
    <oddFooter>&amp;LPL-02 | Crest Point Consulting Group&amp;CPage &amp;P of &amp;N&amp;RStrictly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3864"/>
    <pageSetUpPr fitToPage="1"/>
  </sheetPr>
  <dimension ref="A1:Q31"/>
  <sheetViews>
    <sheetView showGridLines="0" zoomScaleNormal="100" workbookViewId="0"/>
  </sheetViews>
  <sheetFormatPr defaultColWidth="8.68359375" defaultRowHeight="14.4" x14ac:dyDescent="0.55000000000000004"/>
  <cols>
    <col min="1" max="1" width="16" customWidth="1"/>
    <col min="2" max="2" width="22" customWidth="1"/>
    <col min="3" max="3" width="9" customWidth="1"/>
    <col min="4" max="4" width="8" customWidth="1"/>
    <col min="5" max="16" width="9" customWidth="1"/>
    <col min="17" max="17" width="12" customWidth="1"/>
  </cols>
  <sheetData>
    <row r="1" spans="1:17" ht="30.75" customHeight="1" x14ac:dyDescent="0.55000000000000004">
      <c r="A1" s="6" t="s">
        <v>80</v>
      </c>
      <c r="B1" s="6"/>
      <c r="C1" s="5" t="s">
        <v>0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ht="21.75" customHeight="1" x14ac:dyDescent="0.55000000000000004">
      <c r="A2" s="6"/>
      <c r="B2" s="6"/>
      <c r="C2" s="4" t="s">
        <v>173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ht="21.75" customHeight="1" x14ac:dyDescent="0.55000000000000004">
      <c r="A3" s="6"/>
      <c r="B3" s="6"/>
      <c r="C3" s="3" t="s">
        <v>174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5" spans="1:17" ht="19.5" customHeight="1" x14ac:dyDescent="0.55000000000000004">
      <c r="A5" s="9" t="s">
        <v>175</v>
      </c>
      <c r="B5" s="9"/>
      <c r="C5" s="43" t="s">
        <v>176</v>
      </c>
      <c r="D5" s="43"/>
      <c r="E5" s="43"/>
      <c r="F5" s="43"/>
      <c r="G5" s="9" t="s">
        <v>177</v>
      </c>
      <c r="H5" s="9"/>
      <c r="I5" s="9"/>
      <c r="J5" s="9"/>
      <c r="K5" s="43" t="s">
        <v>178</v>
      </c>
      <c r="L5" s="43"/>
      <c r="M5" s="43"/>
      <c r="N5" s="43"/>
      <c r="O5" s="43"/>
      <c r="P5" s="43"/>
      <c r="Q5" s="43"/>
    </row>
    <row r="7" spans="1:17" ht="30" customHeight="1" x14ac:dyDescent="0.55000000000000004">
      <c r="A7" s="19" t="s">
        <v>105</v>
      </c>
      <c r="B7" s="19" t="s">
        <v>179</v>
      </c>
      <c r="C7" s="19" t="s">
        <v>108</v>
      </c>
      <c r="D7" s="19" t="s">
        <v>180</v>
      </c>
      <c r="E7" s="19" t="s">
        <v>181</v>
      </c>
      <c r="F7" s="19" t="s">
        <v>182</v>
      </c>
      <c r="G7" s="19" t="s">
        <v>183</v>
      </c>
      <c r="H7" s="19" t="s">
        <v>184</v>
      </c>
      <c r="I7" s="19" t="s">
        <v>185</v>
      </c>
      <c r="J7" s="19" t="s">
        <v>186</v>
      </c>
      <c r="K7" s="19" t="s">
        <v>187</v>
      </c>
      <c r="L7" s="19" t="s">
        <v>188</v>
      </c>
      <c r="M7" s="19" t="s">
        <v>189</v>
      </c>
      <c r="N7" s="19" t="s">
        <v>190</v>
      </c>
      <c r="O7" s="19" t="s">
        <v>191</v>
      </c>
      <c r="P7" s="19" t="s">
        <v>192</v>
      </c>
      <c r="Q7" s="19" t="s">
        <v>193</v>
      </c>
    </row>
    <row r="8" spans="1:17" ht="30.75" customHeight="1" x14ac:dyDescent="0.55000000000000004">
      <c r="A8" s="24" t="s">
        <v>90</v>
      </c>
      <c r="B8" s="24" t="s">
        <v>194</v>
      </c>
      <c r="C8" s="14" t="s">
        <v>195</v>
      </c>
      <c r="D8" s="16" t="s">
        <v>111</v>
      </c>
      <c r="E8" s="27">
        <v>20000</v>
      </c>
      <c r="F8" s="27">
        <v>20000</v>
      </c>
      <c r="G8" s="27">
        <v>20000</v>
      </c>
      <c r="H8" s="27">
        <v>20000</v>
      </c>
      <c r="I8" s="27">
        <v>20000</v>
      </c>
      <c r="J8" s="27">
        <v>20000</v>
      </c>
      <c r="K8" s="27">
        <v>20000</v>
      </c>
      <c r="L8" s="27">
        <v>20000</v>
      </c>
      <c r="M8" s="27">
        <v>20000</v>
      </c>
      <c r="N8" s="27">
        <v>20000</v>
      </c>
      <c r="O8" s="27">
        <v>20000</v>
      </c>
      <c r="P8" s="27">
        <v>20000</v>
      </c>
      <c r="Q8" s="28">
        <f t="shared" ref="Q8:Q17" si="0">IF(A8="","",SUM(E8:P8))</f>
        <v>240000</v>
      </c>
    </row>
    <row r="9" spans="1:17" ht="21.75" customHeight="1" x14ac:dyDescent="0.55000000000000004">
      <c r="A9" s="24" t="s">
        <v>90</v>
      </c>
      <c r="B9" s="24" t="s">
        <v>196</v>
      </c>
      <c r="C9" s="14" t="s">
        <v>112</v>
      </c>
      <c r="D9" s="16" t="s">
        <v>111</v>
      </c>
      <c r="E9" s="27">
        <v>4000</v>
      </c>
      <c r="F9" s="27">
        <v>4000</v>
      </c>
      <c r="G9" s="27">
        <v>4500</v>
      </c>
      <c r="H9" s="27">
        <v>5000</v>
      </c>
      <c r="I9" s="27">
        <v>5500</v>
      </c>
      <c r="J9" s="27">
        <v>5500</v>
      </c>
      <c r="K9" s="27">
        <v>5500</v>
      </c>
      <c r="L9" s="27">
        <v>5500</v>
      </c>
      <c r="M9" s="27">
        <v>5500</v>
      </c>
      <c r="N9" s="27">
        <v>5500</v>
      </c>
      <c r="O9" s="27">
        <v>5000</v>
      </c>
      <c r="P9" s="27">
        <v>4500</v>
      </c>
      <c r="Q9" s="28">
        <f t="shared" si="0"/>
        <v>60000</v>
      </c>
    </row>
    <row r="10" spans="1:17" ht="30.75" customHeight="1" x14ac:dyDescent="0.55000000000000004">
      <c r="A10" s="24" t="s">
        <v>197</v>
      </c>
      <c r="B10" s="24" t="s">
        <v>194</v>
      </c>
      <c r="C10" s="14" t="s">
        <v>195</v>
      </c>
      <c r="D10" s="16" t="s">
        <v>111</v>
      </c>
      <c r="E10" s="27">
        <v>9000</v>
      </c>
      <c r="F10" s="27">
        <v>9000</v>
      </c>
      <c r="G10" s="27">
        <v>9000</v>
      </c>
      <c r="H10" s="27">
        <v>9000</v>
      </c>
      <c r="I10" s="27">
        <v>9000</v>
      </c>
      <c r="J10" s="27">
        <v>9000</v>
      </c>
      <c r="K10" s="27">
        <v>9000</v>
      </c>
      <c r="L10" s="27">
        <v>9000</v>
      </c>
      <c r="M10" s="27">
        <v>9000</v>
      </c>
      <c r="N10" s="27">
        <v>9000</v>
      </c>
      <c r="O10" s="27">
        <v>9000</v>
      </c>
      <c r="P10" s="27">
        <v>9000</v>
      </c>
      <c r="Q10" s="28">
        <f t="shared" si="0"/>
        <v>108000</v>
      </c>
    </row>
    <row r="11" spans="1:17" ht="21.75" customHeight="1" x14ac:dyDescent="0.55000000000000004">
      <c r="A11" s="24" t="s">
        <v>197</v>
      </c>
      <c r="B11" s="24" t="s">
        <v>196</v>
      </c>
      <c r="C11" s="14" t="s">
        <v>112</v>
      </c>
      <c r="D11" s="16" t="s">
        <v>111</v>
      </c>
      <c r="E11" s="27">
        <v>2500</v>
      </c>
      <c r="F11" s="27">
        <v>2500</v>
      </c>
      <c r="G11" s="27">
        <v>2500</v>
      </c>
      <c r="H11" s="27">
        <v>2500</v>
      </c>
      <c r="I11" s="27">
        <v>2500</v>
      </c>
      <c r="J11" s="27">
        <v>2500</v>
      </c>
      <c r="K11" s="27">
        <v>2500</v>
      </c>
      <c r="L11" s="27">
        <v>2500</v>
      </c>
      <c r="M11" s="27">
        <v>2500</v>
      </c>
      <c r="N11" s="27">
        <v>2500</v>
      </c>
      <c r="O11" s="27">
        <v>2500</v>
      </c>
      <c r="P11" s="27">
        <v>2500</v>
      </c>
      <c r="Q11" s="28">
        <f t="shared" si="0"/>
        <v>30000</v>
      </c>
    </row>
    <row r="12" spans="1:17" ht="30.75" customHeight="1" x14ac:dyDescent="0.55000000000000004">
      <c r="A12" s="24" t="s">
        <v>198</v>
      </c>
      <c r="B12" s="24" t="s">
        <v>194</v>
      </c>
      <c r="C12" s="14" t="s">
        <v>195</v>
      </c>
      <c r="D12" s="16" t="s">
        <v>111</v>
      </c>
      <c r="E12" s="27">
        <v>4000</v>
      </c>
      <c r="F12" s="27">
        <v>4000</v>
      </c>
      <c r="G12" s="27">
        <v>4000</v>
      </c>
      <c r="H12" s="27">
        <v>4000</v>
      </c>
      <c r="I12" s="27">
        <v>4000</v>
      </c>
      <c r="J12" s="27">
        <v>4000</v>
      </c>
      <c r="K12" s="27">
        <v>4000</v>
      </c>
      <c r="L12" s="27">
        <v>4000</v>
      </c>
      <c r="M12" s="27">
        <v>4000</v>
      </c>
      <c r="N12" s="27">
        <v>4000</v>
      </c>
      <c r="O12" s="27">
        <v>4000</v>
      </c>
      <c r="P12" s="27">
        <v>4000</v>
      </c>
      <c r="Q12" s="28">
        <f t="shared" si="0"/>
        <v>48000</v>
      </c>
    </row>
    <row r="13" spans="1:17" ht="21.75" customHeight="1" x14ac:dyDescent="0.55000000000000004">
      <c r="A13" s="24" t="s">
        <v>198</v>
      </c>
      <c r="B13" s="24" t="s">
        <v>196</v>
      </c>
      <c r="C13" s="14" t="s">
        <v>112</v>
      </c>
      <c r="D13" s="16" t="s">
        <v>111</v>
      </c>
      <c r="E13" s="27">
        <v>1200</v>
      </c>
      <c r="F13" s="27">
        <v>1200</v>
      </c>
      <c r="G13" s="27">
        <v>1200</v>
      </c>
      <c r="H13" s="27">
        <v>1200</v>
      </c>
      <c r="I13" s="27">
        <v>1200</v>
      </c>
      <c r="J13" s="27">
        <v>1200</v>
      </c>
      <c r="K13" s="27">
        <v>1200</v>
      </c>
      <c r="L13" s="27">
        <v>1200</v>
      </c>
      <c r="M13" s="27">
        <v>1200</v>
      </c>
      <c r="N13" s="27">
        <v>1200</v>
      </c>
      <c r="O13" s="27">
        <v>1200</v>
      </c>
      <c r="P13" s="27">
        <v>1200</v>
      </c>
      <c r="Q13" s="28">
        <f t="shared" si="0"/>
        <v>14400</v>
      </c>
    </row>
    <row r="14" spans="1:17" ht="21.75" customHeight="1" x14ac:dyDescent="0.55000000000000004">
      <c r="A14" s="15"/>
      <c r="B14" s="15"/>
      <c r="C14" s="20"/>
      <c r="D14" s="20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8" t="str">
        <f t="shared" si="0"/>
        <v/>
      </c>
    </row>
    <row r="15" spans="1:17" ht="21.75" customHeight="1" x14ac:dyDescent="0.55000000000000004">
      <c r="A15" s="15"/>
      <c r="B15" s="15"/>
      <c r="C15" s="20"/>
      <c r="D15" s="20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8" t="str">
        <f t="shared" si="0"/>
        <v/>
      </c>
    </row>
    <row r="16" spans="1:17" ht="21.75" customHeight="1" x14ac:dyDescent="0.55000000000000004">
      <c r="A16" s="15"/>
      <c r="B16" s="15"/>
      <c r="C16" s="20"/>
      <c r="D16" s="20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8" t="str">
        <f t="shared" si="0"/>
        <v/>
      </c>
    </row>
    <row r="17" spans="1:17" ht="21.75" customHeight="1" x14ac:dyDescent="0.55000000000000004">
      <c r="A17" s="15"/>
      <c r="B17" s="15"/>
      <c r="C17" s="20"/>
      <c r="D17" s="20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8" t="str">
        <f t="shared" si="0"/>
        <v/>
      </c>
    </row>
    <row r="19" spans="1:17" ht="18" customHeight="1" x14ac:dyDescent="0.55000000000000004">
      <c r="A19" s="2" t="s">
        <v>199</v>
      </c>
      <c r="B19" s="2"/>
      <c r="C19" s="2"/>
      <c r="D19" s="2"/>
      <c r="E19" s="19" t="s">
        <v>181</v>
      </c>
      <c r="F19" s="19" t="s">
        <v>182</v>
      </c>
      <c r="G19" s="19" t="s">
        <v>183</v>
      </c>
      <c r="H19" s="19" t="s">
        <v>184</v>
      </c>
      <c r="I19" s="19" t="s">
        <v>185</v>
      </c>
      <c r="J19" s="19" t="s">
        <v>186</v>
      </c>
      <c r="K19" s="19" t="s">
        <v>187</v>
      </c>
      <c r="L19" s="19" t="s">
        <v>188</v>
      </c>
      <c r="M19" s="19" t="s">
        <v>189</v>
      </c>
      <c r="N19" s="19" t="s">
        <v>190</v>
      </c>
      <c r="O19" s="19" t="s">
        <v>191</v>
      </c>
      <c r="P19" s="19" t="s">
        <v>192</v>
      </c>
      <c r="Q19" s="19" t="s">
        <v>200</v>
      </c>
    </row>
    <row r="20" spans="1:17" ht="18" customHeight="1" x14ac:dyDescent="0.55000000000000004">
      <c r="A20" s="9" t="s">
        <v>201</v>
      </c>
      <c r="B20" s="9"/>
      <c r="C20" s="9"/>
      <c r="D20" s="9"/>
      <c r="E20" s="30">
        <f t="shared" ref="E20:Q20" si="1">SUMIF($B$8:$B$17,"Excavation (overburden removal)",E$8:E$17)</f>
        <v>33000</v>
      </c>
      <c r="F20" s="30">
        <f t="shared" si="1"/>
        <v>33000</v>
      </c>
      <c r="G20" s="30">
        <f t="shared" si="1"/>
        <v>33000</v>
      </c>
      <c r="H20" s="30">
        <f t="shared" si="1"/>
        <v>33000</v>
      </c>
      <c r="I20" s="30">
        <f t="shared" si="1"/>
        <v>33000</v>
      </c>
      <c r="J20" s="30">
        <f t="shared" si="1"/>
        <v>33000</v>
      </c>
      <c r="K20" s="30">
        <f t="shared" si="1"/>
        <v>33000</v>
      </c>
      <c r="L20" s="30">
        <f t="shared" si="1"/>
        <v>33000</v>
      </c>
      <c r="M20" s="30">
        <f t="shared" si="1"/>
        <v>33000</v>
      </c>
      <c r="N20" s="30">
        <f t="shared" si="1"/>
        <v>33000</v>
      </c>
      <c r="O20" s="30">
        <f t="shared" si="1"/>
        <v>33000</v>
      </c>
      <c r="P20" s="30">
        <f t="shared" si="1"/>
        <v>33000</v>
      </c>
      <c r="Q20" s="28">
        <f t="shared" si="1"/>
        <v>396000</v>
      </c>
    </row>
    <row r="21" spans="1:17" ht="18" customHeight="1" x14ac:dyDescent="0.55000000000000004">
      <c r="A21" s="9" t="s">
        <v>202</v>
      </c>
      <c r="B21" s="9"/>
      <c r="C21" s="9"/>
      <c r="D21" s="9"/>
      <c r="E21" s="30">
        <f t="shared" ref="E21:Q21" si="2">SUMIF($B$8:$B$17,"Extraction (raw coal)",E$8:E$17)</f>
        <v>7700</v>
      </c>
      <c r="F21" s="30">
        <f t="shared" si="2"/>
        <v>7700</v>
      </c>
      <c r="G21" s="30">
        <f t="shared" si="2"/>
        <v>8200</v>
      </c>
      <c r="H21" s="30">
        <f t="shared" si="2"/>
        <v>8700</v>
      </c>
      <c r="I21" s="30">
        <f t="shared" si="2"/>
        <v>9200</v>
      </c>
      <c r="J21" s="30">
        <f t="shared" si="2"/>
        <v>9200</v>
      </c>
      <c r="K21" s="30">
        <f t="shared" si="2"/>
        <v>9200</v>
      </c>
      <c r="L21" s="30">
        <f t="shared" si="2"/>
        <v>9200</v>
      </c>
      <c r="M21" s="30">
        <f t="shared" si="2"/>
        <v>9200</v>
      </c>
      <c r="N21" s="30">
        <f t="shared" si="2"/>
        <v>9200</v>
      </c>
      <c r="O21" s="30">
        <f t="shared" si="2"/>
        <v>8700</v>
      </c>
      <c r="P21" s="30">
        <f t="shared" si="2"/>
        <v>8200</v>
      </c>
      <c r="Q21" s="28">
        <f t="shared" si="2"/>
        <v>104400</v>
      </c>
    </row>
    <row r="23" spans="1:17" ht="18" customHeight="1" x14ac:dyDescent="0.55000000000000004">
      <c r="A23" s="9" t="s">
        <v>133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</row>
    <row r="24" spans="1:17" ht="30.75" customHeight="1" x14ac:dyDescent="0.55000000000000004">
      <c r="A24" s="7" t="s">
        <v>203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</row>
    <row r="25" spans="1:17" ht="27.75" customHeight="1" x14ac:dyDescent="0.55000000000000004">
      <c r="A25" s="7" t="s">
        <v>204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</row>
    <row r="26" spans="1:17" ht="27.75" customHeight="1" x14ac:dyDescent="0.55000000000000004">
      <c r="A26" s="7" t="s">
        <v>205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</row>
    <row r="27" spans="1:17" ht="30.75" customHeight="1" x14ac:dyDescent="0.55000000000000004">
      <c r="A27" s="44" t="s">
        <v>128</v>
      </c>
      <c r="B27" s="44"/>
      <c r="C27" s="44"/>
      <c r="D27" s="44"/>
      <c r="E27" s="44"/>
      <c r="F27" s="44"/>
      <c r="G27" s="44"/>
      <c r="H27" s="44"/>
      <c r="I27" s="44" t="s">
        <v>168</v>
      </c>
      <c r="J27" s="44"/>
      <c r="K27" s="44"/>
      <c r="L27" s="44"/>
      <c r="M27" s="44"/>
      <c r="N27" s="44"/>
      <c r="O27" s="44"/>
      <c r="P27" s="44"/>
      <c r="Q27" s="44"/>
    </row>
    <row r="28" spans="1:17" ht="19.5" customHeight="1" x14ac:dyDescent="0.55000000000000004">
      <c r="A28" s="8" t="s">
        <v>129</v>
      </c>
      <c r="B28" s="8"/>
      <c r="C28" s="8"/>
      <c r="D28" s="8"/>
      <c r="E28" s="8"/>
      <c r="F28" s="8"/>
      <c r="G28" s="8"/>
      <c r="H28" s="8"/>
      <c r="I28" s="8" t="s">
        <v>129</v>
      </c>
      <c r="J28" s="8"/>
      <c r="K28" s="8"/>
      <c r="L28" s="8"/>
      <c r="M28" s="8"/>
      <c r="N28" s="8"/>
      <c r="O28" s="8"/>
      <c r="P28" s="8"/>
      <c r="Q28" s="8"/>
    </row>
    <row r="29" spans="1:17" ht="19.5" customHeight="1" x14ac:dyDescent="0.55000000000000004">
      <c r="A29" s="8" t="s">
        <v>130</v>
      </c>
      <c r="B29" s="8"/>
      <c r="C29" s="8"/>
      <c r="D29" s="8"/>
      <c r="E29" s="8"/>
      <c r="F29" s="8"/>
      <c r="G29" s="8"/>
      <c r="H29" s="8"/>
      <c r="I29" s="8" t="s">
        <v>130</v>
      </c>
      <c r="J29" s="8"/>
      <c r="K29" s="8"/>
      <c r="L29" s="8"/>
      <c r="M29" s="8"/>
      <c r="N29" s="8"/>
      <c r="O29" s="8"/>
      <c r="P29" s="8"/>
      <c r="Q29" s="8"/>
    </row>
    <row r="30" spans="1:17" ht="43.5" customHeight="1" x14ac:dyDescent="0.55000000000000004">
      <c r="A30" s="45" t="s">
        <v>131</v>
      </c>
      <c r="B30" s="45"/>
      <c r="C30" s="45"/>
      <c r="D30" s="45"/>
      <c r="E30" s="45"/>
      <c r="F30" s="45"/>
      <c r="G30" s="45"/>
      <c r="H30" s="45"/>
      <c r="I30" s="45" t="s">
        <v>131</v>
      </c>
      <c r="J30" s="45"/>
      <c r="K30" s="45"/>
      <c r="L30" s="45"/>
      <c r="M30" s="45"/>
      <c r="N30" s="45"/>
      <c r="O30" s="45"/>
      <c r="P30" s="45"/>
      <c r="Q30" s="45"/>
    </row>
    <row r="31" spans="1:17" ht="19.5" customHeight="1" x14ac:dyDescent="0.55000000000000004">
      <c r="A31" s="8" t="s">
        <v>132</v>
      </c>
      <c r="B31" s="8"/>
      <c r="C31" s="8"/>
      <c r="D31" s="8"/>
      <c r="E31" s="8"/>
      <c r="F31" s="8"/>
      <c r="G31" s="8"/>
      <c r="H31" s="8"/>
      <c r="I31" s="8" t="s">
        <v>132</v>
      </c>
      <c r="J31" s="8"/>
      <c r="K31" s="8"/>
      <c r="L31" s="8"/>
      <c r="M31" s="8"/>
      <c r="N31" s="8"/>
      <c r="O31" s="8"/>
      <c r="P31" s="8"/>
      <c r="Q31" s="8"/>
    </row>
  </sheetData>
  <mergeCells count="25">
    <mergeCell ref="A29:H29"/>
    <mergeCell ref="I29:Q29"/>
    <mergeCell ref="A30:H30"/>
    <mergeCell ref="I30:Q30"/>
    <mergeCell ref="A31:H31"/>
    <mergeCell ref="I31:Q31"/>
    <mergeCell ref="A25:Q25"/>
    <mergeCell ref="A26:Q26"/>
    <mergeCell ref="A27:H27"/>
    <mergeCell ref="I27:Q27"/>
    <mergeCell ref="A28:H28"/>
    <mergeCell ref="I28:Q28"/>
    <mergeCell ref="A19:D19"/>
    <mergeCell ref="A20:D20"/>
    <mergeCell ref="A21:D21"/>
    <mergeCell ref="A23:Q23"/>
    <mergeCell ref="A24:Q24"/>
    <mergeCell ref="A1:B3"/>
    <mergeCell ref="C1:Q1"/>
    <mergeCell ref="C2:Q2"/>
    <mergeCell ref="C3:Q3"/>
    <mergeCell ref="A5:B5"/>
    <mergeCell ref="C5:F5"/>
    <mergeCell ref="G5:J5"/>
    <mergeCell ref="K5:Q5"/>
  </mergeCells>
  <pageMargins left="0.5" right="0.5" top="1" bottom="1" header="0.511811023622047" footer="0.5"/>
  <pageSetup paperSize="9" fitToHeight="0" orientation="landscape" horizontalDpi="300" verticalDpi="300"/>
  <headerFooter>
    <oddFooter>&amp;LPL-03 | Crest Point Consulting Group&amp;CPage &amp;P of &amp;N&amp;RStrictly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3864"/>
    <pageSetUpPr fitToPage="1"/>
  </sheetPr>
  <dimension ref="A1:Q37"/>
  <sheetViews>
    <sheetView showGridLines="0" zoomScaleNormal="100" workbookViewId="0"/>
  </sheetViews>
  <sheetFormatPr defaultColWidth="8.68359375" defaultRowHeight="14.4" x14ac:dyDescent="0.55000000000000004"/>
  <cols>
    <col min="1" max="1" width="16" customWidth="1"/>
    <col min="2" max="2" width="32" customWidth="1"/>
    <col min="3" max="3" width="16" customWidth="1"/>
    <col min="4" max="4" width="34" customWidth="1"/>
    <col min="5" max="16" width="11" customWidth="1"/>
    <col min="17" max="17" width="14" customWidth="1"/>
  </cols>
  <sheetData>
    <row r="1" spans="1:17" ht="30.75" customHeight="1" x14ac:dyDescent="0.55000000000000004">
      <c r="A1" s="6" t="s">
        <v>80</v>
      </c>
      <c r="B1" s="6"/>
      <c r="C1" s="5" t="s">
        <v>0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ht="21.75" customHeight="1" x14ac:dyDescent="0.55000000000000004">
      <c r="A2" s="6"/>
      <c r="B2" s="6"/>
      <c r="C2" s="4" t="s">
        <v>206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ht="21.75" customHeight="1" x14ac:dyDescent="0.55000000000000004">
      <c r="A3" s="6"/>
      <c r="B3" s="6"/>
      <c r="C3" s="3" t="s">
        <v>207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5" spans="1:17" ht="19.5" customHeight="1" x14ac:dyDescent="0.55000000000000004">
      <c r="A5" s="9" t="s">
        <v>175</v>
      </c>
      <c r="B5" s="9"/>
      <c r="C5" s="43" t="s">
        <v>208</v>
      </c>
      <c r="D5" s="43"/>
      <c r="E5" s="43"/>
      <c r="F5" s="43"/>
      <c r="G5" s="9" t="s">
        <v>177</v>
      </c>
      <c r="H5" s="9"/>
      <c r="I5" s="9"/>
      <c r="J5" s="9"/>
      <c r="K5" s="43" t="s">
        <v>178</v>
      </c>
      <c r="L5" s="43"/>
      <c r="M5" s="43"/>
      <c r="N5" s="43"/>
      <c r="O5" s="43"/>
      <c r="P5" s="43"/>
      <c r="Q5" s="43"/>
    </row>
    <row r="7" spans="1:17" ht="30" customHeight="1" x14ac:dyDescent="0.55000000000000004">
      <c r="A7" s="19" t="s">
        <v>105</v>
      </c>
      <c r="B7" s="19" t="s">
        <v>106</v>
      </c>
      <c r="C7" s="19" t="s">
        <v>209</v>
      </c>
      <c r="D7" s="19" t="s">
        <v>107</v>
      </c>
      <c r="E7" s="19" t="s">
        <v>181</v>
      </c>
      <c r="F7" s="19" t="s">
        <v>182</v>
      </c>
      <c r="G7" s="19" t="s">
        <v>183</v>
      </c>
      <c r="H7" s="19" t="s">
        <v>184</v>
      </c>
      <c r="I7" s="19" t="s">
        <v>185</v>
      </c>
      <c r="J7" s="19" t="s">
        <v>186</v>
      </c>
      <c r="K7" s="19" t="s">
        <v>187</v>
      </c>
      <c r="L7" s="19" t="s">
        <v>188</v>
      </c>
      <c r="M7" s="19" t="s">
        <v>189</v>
      </c>
      <c r="N7" s="19" t="s">
        <v>190</v>
      </c>
      <c r="O7" s="19" t="s">
        <v>191</v>
      </c>
      <c r="P7" s="19" t="s">
        <v>192</v>
      </c>
      <c r="Q7" s="19" t="s">
        <v>193</v>
      </c>
    </row>
    <row r="8" spans="1:17" ht="30.75" customHeight="1" x14ac:dyDescent="0.55000000000000004">
      <c r="A8" s="24" t="s">
        <v>90</v>
      </c>
      <c r="B8" s="24" t="s">
        <v>115</v>
      </c>
      <c r="C8" s="24" t="s">
        <v>116</v>
      </c>
      <c r="D8" s="24" t="s">
        <v>210</v>
      </c>
      <c r="E8" s="31">
        <v>2500000</v>
      </c>
      <c r="F8" s="31">
        <v>2500000</v>
      </c>
      <c r="G8" s="31">
        <v>2500000</v>
      </c>
      <c r="H8" s="31">
        <v>2500000</v>
      </c>
      <c r="I8" s="31">
        <v>2500000</v>
      </c>
      <c r="J8" s="31">
        <v>2500000</v>
      </c>
      <c r="K8" s="31">
        <v>2500000</v>
      </c>
      <c r="L8" s="31">
        <v>2500000</v>
      </c>
      <c r="M8" s="31">
        <v>2500000</v>
      </c>
      <c r="N8" s="31">
        <v>2500000</v>
      </c>
      <c r="O8" s="31">
        <v>2500000</v>
      </c>
      <c r="P8" s="31">
        <v>2500000</v>
      </c>
      <c r="Q8" s="28">
        <f t="shared" ref="Q8:Q19" si="0">IF(A8="","",SUM(E8:P8))</f>
        <v>30000000</v>
      </c>
    </row>
    <row r="9" spans="1:17" ht="30.75" customHeight="1" x14ac:dyDescent="0.55000000000000004">
      <c r="A9" s="24" t="s">
        <v>197</v>
      </c>
      <c r="B9" s="24" t="s">
        <v>115</v>
      </c>
      <c r="C9" s="24" t="s">
        <v>116</v>
      </c>
      <c r="D9" s="24" t="s">
        <v>211</v>
      </c>
      <c r="E9" s="31">
        <v>1800000</v>
      </c>
      <c r="F9" s="31">
        <v>1800000</v>
      </c>
      <c r="G9" s="31">
        <v>1800000</v>
      </c>
      <c r="H9" s="31">
        <v>1800000</v>
      </c>
      <c r="I9" s="31">
        <v>1800000</v>
      </c>
      <c r="J9" s="31">
        <v>1800000</v>
      </c>
      <c r="K9" s="31">
        <v>1800000</v>
      </c>
      <c r="L9" s="31">
        <v>1800000</v>
      </c>
      <c r="M9" s="31">
        <v>1800000</v>
      </c>
      <c r="N9" s="31">
        <v>1800000</v>
      </c>
      <c r="O9" s="31">
        <v>1800000</v>
      </c>
      <c r="P9" s="31">
        <v>1800000</v>
      </c>
      <c r="Q9" s="28">
        <f t="shared" si="0"/>
        <v>21600000</v>
      </c>
    </row>
    <row r="10" spans="1:17" ht="21.75" customHeight="1" x14ac:dyDescent="0.55000000000000004">
      <c r="A10" s="24" t="s">
        <v>118</v>
      </c>
      <c r="B10" s="24" t="s">
        <v>119</v>
      </c>
      <c r="C10" s="24" t="s">
        <v>120</v>
      </c>
      <c r="D10" s="24" t="s">
        <v>121</v>
      </c>
      <c r="E10" s="31">
        <v>100000</v>
      </c>
      <c r="F10" s="31">
        <v>100000</v>
      </c>
      <c r="G10" s="31">
        <v>100000</v>
      </c>
      <c r="H10" s="31">
        <v>100000</v>
      </c>
      <c r="I10" s="31">
        <v>100000</v>
      </c>
      <c r="J10" s="31">
        <v>100000</v>
      </c>
      <c r="K10" s="31">
        <v>100000</v>
      </c>
      <c r="L10" s="31">
        <v>100000</v>
      </c>
      <c r="M10" s="31">
        <v>100000</v>
      </c>
      <c r="N10" s="31">
        <v>100000</v>
      </c>
      <c r="O10" s="31">
        <v>100000</v>
      </c>
      <c r="P10" s="31">
        <v>100000</v>
      </c>
      <c r="Q10" s="28">
        <f t="shared" si="0"/>
        <v>1200000</v>
      </c>
    </row>
    <row r="11" spans="1:17" ht="30.75" customHeight="1" x14ac:dyDescent="0.55000000000000004">
      <c r="A11" s="24" t="s">
        <v>90</v>
      </c>
      <c r="B11" s="24" t="s">
        <v>88</v>
      </c>
      <c r="C11" s="24" t="s">
        <v>92</v>
      </c>
      <c r="D11" s="24" t="s">
        <v>212</v>
      </c>
      <c r="E11" s="31">
        <v>300000</v>
      </c>
      <c r="F11" s="31">
        <v>300000</v>
      </c>
      <c r="G11" s="31">
        <v>300000</v>
      </c>
      <c r="H11" s="31">
        <v>300000</v>
      </c>
      <c r="I11" s="31">
        <v>300000</v>
      </c>
      <c r="J11" s="31">
        <v>300000</v>
      </c>
      <c r="K11" s="31">
        <v>300000</v>
      </c>
      <c r="L11" s="31">
        <v>300000</v>
      </c>
      <c r="M11" s="31">
        <v>300000</v>
      </c>
      <c r="N11" s="31">
        <v>300000</v>
      </c>
      <c r="O11" s="31">
        <v>300000</v>
      </c>
      <c r="P11" s="31">
        <v>300000</v>
      </c>
      <c r="Q11" s="28">
        <f t="shared" si="0"/>
        <v>3600000</v>
      </c>
    </row>
    <row r="12" spans="1:17" ht="30.75" customHeight="1" x14ac:dyDescent="0.55000000000000004">
      <c r="A12" s="24" t="s">
        <v>90</v>
      </c>
      <c r="B12" s="24" t="s">
        <v>213</v>
      </c>
      <c r="C12" s="24" t="s">
        <v>92</v>
      </c>
      <c r="D12" s="24" t="s">
        <v>214</v>
      </c>
      <c r="E12" s="31">
        <v>185000</v>
      </c>
      <c r="F12" s="31">
        <v>185000</v>
      </c>
      <c r="G12" s="31">
        <v>185000</v>
      </c>
      <c r="H12" s="31">
        <v>185000</v>
      </c>
      <c r="I12" s="31">
        <v>185000</v>
      </c>
      <c r="J12" s="31">
        <v>185000</v>
      </c>
      <c r="K12" s="31">
        <v>185000</v>
      </c>
      <c r="L12" s="31">
        <v>185000</v>
      </c>
      <c r="M12" s="31">
        <v>185000</v>
      </c>
      <c r="N12" s="31">
        <v>185000</v>
      </c>
      <c r="O12" s="31">
        <v>185000</v>
      </c>
      <c r="P12" s="31">
        <v>185000</v>
      </c>
      <c r="Q12" s="28">
        <f t="shared" si="0"/>
        <v>2220000</v>
      </c>
    </row>
    <row r="13" spans="1:17" ht="30.75" customHeight="1" x14ac:dyDescent="0.55000000000000004">
      <c r="A13" s="24" t="s">
        <v>197</v>
      </c>
      <c r="B13" s="24" t="s">
        <v>213</v>
      </c>
      <c r="C13" s="24" t="s">
        <v>92</v>
      </c>
      <c r="D13" s="24" t="s">
        <v>215</v>
      </c>
      <c r="E13" s="31">
        <v>240500</v>
      </c>
      <c r="F13" s="31">
        <v>240500</v>
      </c>
      <c r="G13" s="31">
        <v>240500</v>
      </c>
      <c r="H13" s="31">
        <v>240500</v>
      </c>
      <c r="I13" s="31">
        <v>240500</v>
      </c>
      <c r="J13" s="31">
        <v>240500</v>
      </c>
      <c r="K13" s="31">
        <v>240500</v>
      </c>
      <c r="L13" s="31">
        <v>240500</v>
      </c>
      <c r="M13" s="31">
        <v>240500</v>
      </c>
      <c r="N13" s="31">
        <v>240500</v>
      </c>
      <c r="O13" s="31">
        <v>240500</v>
      </c>
      <c r="P13" s="31">
        <v>240500</v>
      </c>
      <c r="Q13" s="28">
        <f t="shared" si="0"/>
        <v>2886000</v>
      </c>
    </row>
    <row r="14" spans="1:17" ht="30.75" customHeight="1" x14ac:dyDescent="0.55000000000000004">
      <c r="A14" s="24" t="s">
        <v>118</v>
      </c>
      <c r="B14" s="24" t="s">
        <v>216</v>
      </c>
      <c r="C14" s="24" t="s">
        <v>123</v>
      </c>
      <c r="D14" s="24" t="s">
        <v>217</v>
      </c>
      <c r="E14" s="31">
        <v>520000</v>
      </c>
      <c r="F14" s="31">
        <v>520000</v>
      </c>
      <c r="G14" s="31">
        <v>520000</v>
      </c>
      <c r="H14" s="31">
        <v>520000</v>
      </c>
      <c r="I14" s="31">
        <v>520000</v>
      </c>
      <c r="J14" s="31">
        <v>520000</v>
      </c>
      <c r="K14" s="31">
        <v>520000</v>
      </c>
      <c r="L14" s="31">
        <v>520000</v>
      </c>
      <c r="M14" s="31">
        <v>520000</v>
      </c>
      <c r="N14" s="31">
        <v>520000</v>
      </c>
      <c r="O14" s="31">
        <v>520000</v>
      </c>
      <c r="P14" s="31">
        <v>520000</v>
      </c>
      <c r="Q14" s="28">
        <f t="shared" si="0"/>
        <v>6240000</v>
      </c>
    </row>
    <row r="15" spans="1:17" ht="21.75" customHeight="1" x14ac:dyDescent="0.55000000000000004">
      <c r="A15" s="24" t="s">
        <v>118</v>
      </c>
      <c r="B15" s="24" t="s">
        <v>122</v>
      </c>
      <c r="C15" s="24" t="s">
        <v>123</v>
      </c>
      <c r="D15" s="24" t="s">
        <v>124</v>
      </c>
      <c r="E15" s="31">
        <v>35000</v>
      </c>
      <c r="F15" s="31">
        <v>35000</v>
      </c>
      <c r="G15" s="31">
        <v>35000</v>
      </c>
      <c r="H15" s="31">
        <v>35000</v>
      </c>
      <c r="I15" s="31">
        <v>35000</v>
      </c>
      <c r="J15" s="31">
        <v>35000</v>
      </c>
      <c r="K15" s="31">
        <v>35000</v>
      </c>
      <c r="L15" s="31">
        <v>35000</v>
      </c>
      <c r="M15" s="31">
        <v>35000</v>
      </c>
      <c r="N15" s="31">
        <v>35000</v>
      </c>
      <c r="O15" s="31">
        <v>35000</v>
      </c>
      <c r="P15" s="31">
        <v>35000</v>
      </c>
      <c r="Q15" s="28">
        <f t="shared" si="0"/>
        <v>420000</v>
      </c>
    </row>
    <row r="16" spans="1:17" ht="30.75" customHeight="1" x14ac:dyDescent="0.55000000000000004">
      <c r="A16" s="24" t="s">
        <v>90</v>
      </c>
      <c r="B16" s="24" t="s">
        <v>125</v>
      </c>
      <c r="C16" s="24" t="s">
        <v>126</v>
      </c>
      <c r="D16" s="24" t="s">
        <v>127</v>
      </c>
      <c r="E16" s="31">
        <v>0</v>
      </c>
      <c r="F16" s="31">
        <v>0</v>
      </c>
      <c r="G16" s="31">
        <v>6000000</v>
      </c>
      <c r="H16" s="31">
        <v>0</v>
      </c>
      <c r="I16" s="31">
        <v>0</v>
      </c>
      <c r="J16" s="31">
        <v>0</v>
      </c>
      <c r="K16" s="31">
        <v>0</v>
      </c>
      <c r="L16" s="31">
        <v>0</v>
      </c>
      <c r="M16" s="31">
        <v>0</v>
      </c>
      <c r="N16" s="31">
        <v>0</v>
      </c>
      <c r="O16" s="31">
        <v>0</v>
      </c>
      <c r="P16" s="31">
        <v>0</v>
      </c>
      <c r="Q16" s="28">
        <f t="shared" si="0"/>
        <v>6000000</v>
      </c>
    </row>
    <row r="17" spans="1:17" ht="21.75" customHeight="1" x14ac:dyDescent="0.55000000000000004">
      <c r="A17" s="15"/>
      <c r="B17" s="15"/>
      <c r="C17" s="15"/>
      <c r="D17" s="15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28" t="str">
        <f t="shared" si="0"/>
        <v/>
      </c>
    </row>
    <row r="18" spans="1:17" ht="21.75" customHeight="1" x14ac:dyDescent="0.55000000000000004">
      <c r="A18" s="15"/>
      <c r="B18" s="15"/>
      <c r="C18" s="15"/>
      <c r="D18" s="15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28" t="str">
        <f t="shared" si="0"/>
        <v/>
      </c>
    </row>
    <row r="19" spans="1:17" ht="21.75" customHeight="1" x14ac:dyDescent="0.55000000000000004">
      <c r="A19" s="15"/>
      <c r="B19" s="15"/>
      <c r="C19" s="15"/>
      <c r="D19" s="15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28" t="str">
        <f t="shared" si="0"/>
        <v/>
      </c>
    </row>
    <row r="21" spans="1:17" ht="18" customHeight="1" x14ac:dyDescent="0.55000000000000004">
      <c r="A21" s="2" t="s">
        <v>218</v>
      </c>
      <c r="B21" s="2"/>
      <c r="C21" s="2"/>
      <c r="D21" s="2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19" t="s">
        <v>219</v>
      </c>
    </row>
    <row r="22" spans="1:17" ht="18" customHeight="1" x14ac:dyDescent="0.55000000000000004">
      <c r="A22" s="9" t="s">
        <v>220</v>
      </c>
      <c r="B22" s="9"/>
      <c r="C22" s="9"/>
      <c r="D22" s="9"/>
      <c r="Q22" s="33">
        <f>SUMIF($C$8:$C$19,"Main Core Revenue",Q$8:Q$19)+SUMIF($C$8:$C$19,"Non-Core Revenue",Q$8:Q$19)</f>
        <v>52800000</v>
      </c>
    </row>
    <row r="23" spans="1:17" ht="18" customHeight="1" x14ac:dyDescent="0.55000000000000004">
      <c r="A23" s="9" t="s">
        <v>221</v>
      </c>
      <c r="B23" s="9"/>
      <c r="C23" s="9"/>
      <c r="D23" s="9"/>
      <c r="Q23" s="33">
        <f>SUMIF($C$8:$C$19,"Direct Cost",Q$8:Q$19)</f>
        <v>8706000</v>
      </c>
    </row>
    <row r="24" spans="1:17" ht="18" customHeight="1" x14ac:dyDescent="0.55000000000000004">
      <c r="A24" s="9" t="s">
        <v>222</v>
      </c>
      <c r="B24" s="9"/>
      <c r="C24" s="9"/>
      <c r="D24" s="9"/>
      <c r="Q24" s="34">
        <f>Q22-Q23</f>
        <v>44094000</v>
      </c>
    </row>
    <row r="25" spans="1:17" ht="18" customHeight="1" x14ac:dyDescent="0.55000000000000004">
      <c r="A25" s="9" t="s">
        <v>223</v>
      </c>
      <c r="B25" s="9"/>
      <c r="C25" s="9"/>
      <c r="D25" s="9"/>
      <c r="Q25" s="33">
        <f>SUMIF($C$8:$C$19,"Indirect Cost",Q$8:Q$19)</f>
        <v>6660000</v>
      </c>
    </row>
    <row r="26" spans="1:17" ht="18" customHeight="1" x14ac:dyDescent="0.55000000000000004">
      <c r="A26" s="9" t="s">
        <v>224</v>
      </c>
      <c r="B26" s="9"/>
      <c r="C26" s="9"/>
      <c r="D26" s="9"/>
      <c r="Q26" s="34">
        <f>Q24-Q25</f>
        <v>37434000</v>
      </c>
    </row>
    <row r="27" spans="1:17" ht="18" customHeight="1" x14ac:dyDescent="0.55000000000000004">
      <c r="A27" s="9" t="s">
        <v>225</v>
      </c>
      <c r="B27" s="9"/>
      <c r="C27" s="9"/>
      <c r="D27" s="9"/>
      <c r="Q27" s="33">
        <f>SUMIF($C$8:$C$19,"CAPEX",Q$8:Q$19)</f>
        <v>6000000</v>
      </c>
    </row>
    <row r="29" spans="1:17" ht="30.75" customHeight="1" x14ac:dyDescent="0.55000000000000004">
      <c r="A29" s="44" t="s">
        <v>128</v>
      </c>
      <c r="B29" s="44"/>
      <c r="C29" s="44"/>
      <c r="D29" s="44"/>
      <c r="E29" s="44"/>
      <c r="F29" s="44"/>
      <c r="G29" s="44"/>
      <c r="H29" s="44"/>
      <c r="I29" s="44" t="s">
        <v>168</v>
      </c>
      <c r="J29" s="44"/>
      <c r="K29" s="44"/>
      <c r="L29" s="44"/>
      <c r="M29" s="44"/>
      <c r="N29" s="44"/>
      <c r="O29" s="44"/>
      <c r="P29" s="44"/>
      <c r="Q29" s="44"/>
    </row>
    <row r="30" spans="1:17" ht="19.5" customHeight="1" x14ac:dyDescent="0.55000000000000004">
      <c r="A30" s="8" t="s">
        <v>129</v>
      </c>
      <c r="B30" s="8"/>
      <c r="C30" s="8"/>
      <c r="D30" s="8"/>
      <c r="E30" s="8"/>
      <c r="F30" s="8"/>
      <c r="G30" s="8"/>
      <c r="H30" s="8"/>
      <c r="I30" s="8" t="s">
        <v>129</v>
      </c>
      <c r="J30" s="8"/>
      <c r="K30" s="8"/>
      <c r="L30" s="8"/>
      <c r="M30" s="8"/>
      <c r="N30" s="8"/>
      <c r="O30" s="8"/>
      <c r="P30" s="8"/>
      <c r="Q30" s="8"/>
    </row>
    <row r="31" spans="1:17" ht="19.5" customHeight="1" x14ac:dyDescent="0.55000000000000004">
      <c r="A31" s="8" t="s">
        <v>130</v>
      </c>
      <c r="B31" s="8"/>
      <c r="C31" s="8"/>
      <c r="D31" s="8"/>
      <c r="E31" s="8"/>
      <c r="F31" s="8"/>
      <c r="G31" s="8"/>
      <c r="H31" s="8"/>
      <c r="I31" s="8" t="s">
        <v>130</v>
      </c>
      <c r="J31" s="8"/>
      <c r="K31" s="8"/>
      <c r="L31" s="8"/>
      <c r="M31" s="8"/>
      <c r="N31" s="8"/>
      <c r="O31" s="8"/>
      <c r="P31" s="8"/>
      <c r="Q31" s="8"/>
    </row>
    <row r="32" spans="1:17" ht="43.5" customHeight="1" x14ac:dyDescent="0.55000000000000004">
      <c r="A32" s="45" t="s">
        <v>131</v>
      </c>
      <c r="B32" s="45"/>
      <c r="C32" s="45"/>
      <c r="D32" s="45"/>
      <c r="E32" s="45"/>
      <c r="F32" s="45"/>
      <c r="G32" s="45"/>
      <c r="H32" s="45"/>
      <c r="I32" s="45" t="s">
        <v>131</v>
      </c>
      <c r="J32" s="45"/>
      <c r="K32" s="45"/>
      <c r="L32" s="45"/>
      <c r="M32" s="45"/>
      <c r="N32" s="45"/>
      <c r="O32" s="45"/>
      <c r="P32" s="45"/>
      <c r="Q32" s="45"/>
    </row>
    <row r="33" spans="1:17" ht="19.5" customHeight="1" x14ac:dyDescent="0.55000000000000004">
      <c r="A33" s="8" t="s">
        <v>132</v>
      </c>
      <c r="B33" s="8"/>
      <c r="C33" s="8"/>
      <c r="D33" s="8"/>
      <c r="E33" s="8"/>
      <c r="F33" s="8"/>
      <c r="G33" s="8"/>
      <c r="H33" s="8"/>
      <c r="I33" s="8" t="s">
        <v>132</v>
      </c>
      <c r="J33" s="8"/>
      <c r="K33" s="8"/>
      <c r="L33" s="8"/>
      <c r="M33" s="8"/>
      <c r="N33" s="8"/>
      <c r="O33" s="8"/>
      <c r="P33" s="8"/>
      <c r="Q33" s="8"/>
    </row>
    <row r="35" spans="1:17" ht="18" customHeight="1" x14ac:dyDescent="0.55000000000000004">
      <c r="A35" s="9" t="s">
        <v>133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</row>
    <row r="36" spans="1:17" ht="27.75" customHeight="1" x14ac:dyDescent="0.55000000000000004">
      <c r="A36" s="7" t="s">
        <v>226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</row>
    <row r="37" spans="1:17" ht="27.75" customHeight="1" x14ac:dyDescent="0.55000000000000004">
      <c r="A37" s="7" t="s">
        <v>227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</row>
  </sheetData>
  <mergeCells count="29">
    <mergeCell ref="A33:H33"/>
    <mergeCell ref="I33:Q33"/>
    <mergeCell ref="A35:Q35"/>
    <mergeCell ref="A36:Q36"/>
    <mergeCell ref="A37:Q37"/>
    <mergeCell ref="A30:H30"/>
    <mergeCell ref="I30:Q30"/>
    <mergeCell ref="A31:H31"/>
    <mergeCell ref="I31:Q31"/>
    <mergeCell ref="A32:H32"/>
    <mergeCell ref="I32:Q32"/>
    <mergeCell ref="A25:D25"/>
    <mergeCell ref="A26:D26"/>
    <mergeCell ref="A27:D27"/>
    <mergeCell ref="A29:H29"/>
    <mergeCell ref="I29:Q29"/>
    <mergeCell ref="A21:D21"/>
    <mergeCell ref="E21:P21"/>
    <mergeCell ref="A22:D22"/>
    <mergeCell ref="A23:D23"/>
    <mergeCell ref="A24:D24"/>
    <mergeCell ref="A1:B3"/>
    <mergeCell ref="C1:Q1"/>
    <mergeCell ref="C2:Q2"/>
    <mergeCell ref="C3:Q3"/>
    <mergeCell ref="A5:B5"/>
    <mergeCell ref="C5:F5"/>
    <mergeCell ref="G5:J5"/>
    <mergeCell ref="K5:Q5"/>
  </mergeCells>
  <dataValidations count="2">
    <dataValidation type="list" allowBlank="1" sqref="A8:A19" xr:uid="{00000000-0002-0000-0400-000000000000}">
      <formula1>"HQ,Second Unit A,Second Unit B,Second Unit C"</formula1>
      <formula2>0</formula2>
    </dataValidation>
    <dataValidation type="list" allowBlank="1" sqref="C8:C19" xr:uid="{00000000-0002-0000-0400-000001000000}">
      <formula1>"Main Core Revenue,Non-Core Revenue,Direct Cost,Indirect Cost,CAPEX"</formula1>
      <formula2>0</formula2>
    </dataValidation>
  </dataValidations>
  <pageMargins left="0.5" right="0.5" top="1" bottom="1" header="0.511811023622047" footer="0.5"/>
  <pageSetup paperSize="9" fitToHeight="0" orientation="landscape" horizontalDpi="300" verticalDpi="300"/>
  <headerFooter>
    <oddFooter>&amp;LPL-04 | Crest Point Consulting Group&amp;CPage &amp;P of &amp;N&amp;RStrictly Confidential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3864"/>
    <pageSetUpPr fitToPage="1"/>
  </sheetPr>
  <dimension ref="A1:J28"/>
  <sheetViews>
    <sheetView showGridLines="0" zoomScaleNormal="100" workbookViewId="0">
      <pane ySplit="7" topLeftCell="A8" activePane="bottomLeft" state="frozen"/>
      <selection pane="bottomLeft"/>
    </sheetView>
  </sheetViews>
  <sheetFormatPr defaultColWidth="8.68359375" defaultRowHeight="14.4" x14ac:dyDescent="0.55000000000000004"/>
  <cols>
    <col min="1" max="1" width="6" customWidth="1"/>
    <col min="2" max="2" width="16" customWidth="1"/>
    <col min="3" max="3" width="30" customWidth="1"/>
    <col min="4" max="4" width="12" customWidth="1"/>
    <col min="5" max="6" width="16" customWidth="1"/>
    <col min="7" max="7" width="12" customWidth="1"/>
    <col min="8" max="8" width="26" customWidth="1"/>
    <col min="9" max="9" width="24" customWidth="1"/>
    <col min="10" max="10" width="48" customWidth="1"/>
  </cols>
  <sheetData>
    <row r="1" spans="1:10" ht="43.5" customHeight="1" x14ac:dyDescent="0.55000000000000004">
      <c r="A1" s="6" t="s">
        <v>80</v>
      </c>
      <c r="B1" s="6"/>
      <c r="C1" s="5" t="s">
        <v>0</v>
      </c>
      <c r="D1" s="5"/>
      <c r="E1" s="5"/>
      <c r="F1" s="5"/>
      <c r="G1" s="5"/>
      <c r="H1" s="5"/>
      <c r="I1" s="5"/>
      <c r="J1" s="5"/>
    </row>
    <row r="2" spans="1:10" ht="21.75" customHeight="1" x14ac:dyDescent="0.55000000000000004">
      <c r="A2" s="6"/>
      <c r="B2" s="6"/>
      <c r="C2" s="4" t="s">
        <v>228</v>
      </c>
      <c r="D2" s="4"/>
      <c r="E2" s="4"/>
      <c r="F2" s="4"/>
      <c r="G2" s="4"/>
      <c r="H2" s="4"/>
      <c r="I2" s="4"/>
      <c r="J2" s="4"/>
    </row>
    <row r="3" spans="1:10" ht="21.75" customHeight="1" x14ac:dyDescent="0.55000000000000004">
      <c r="A3" s="6"/>
      <c r="B3" s="6"/>
      <c r="C3" s="3" t="s">
        <v>229</v>
      </c>
      <c r="D3" s="3"/>
      <c r="E3" s="3"/>
      <c r="F3" s="3"/>
      <c r="G3" s="3"/>
      <c r="H3" s="3"/>
      <c r="I3" s="3"/>
      <c r="J3" s="3"/>
    </row>
    <row r="5" spans="1:10" ht="19.5" customHeight="1" x14ac:dyDescent="0.55000000000000004">
      <c r="A5" s="9" t="s">
        <v>230</v>
      </c>
      <c r="B5" s="9"/>
      <c r="C5" s="23" t="s">
        <v>101</v>
      </c>
      <c r="D5" s="9" t="s">
        <v>231</v>
      </c>
      <c r="E5" s="9"/>
      <c r="F5" s="9"/>
      <c r="G5" s="43" t="s">
        <v>232</v>
      </c>
      <c r="H5" s="43"/>
      <c r="I5" s="43"/>
      <c r="J5" s="43"/>
    </row>
    <row r="7" spans="1:10" ht="43.5" customHeight="1" x14ac:dyDescent="0.55000000000000004">
      <c r="A7" s="19" t="s">
        <v>104</v>
      </c>
      <c r="B7" s="19" t="s">
        <v>105</v>
      </c>
      <c r="C7" s="19" t="s">
        <v>179</v>
      </c>
      <c r="D7" s="19" t="s">
        <v>233</v>
      </c>
      <c r="E7" s="19" t="s">
        <v>234</v>
      </c>
      <c r="F7" s="19" t="s">
        <v>235</v>
      </c>
      <c r="G7" s="19" t="s">
        <v>108</v>
      </c>
      <c r="H7" s="19" t="s">
        <v>236</v>
      </c>
      <c r="I7" s="19" t="s">
        <v>237</v>
      </c>
      <c r="J7" s="19" t="s">
        <v>238</v>
      </c>
    </row>
    <row r="8" spans="1:10" ht="30.75" customHeight="1" x14ac:dyDescent="0.55000000000000004">
      <c r="A8" s="20">
        <v>1</v>
      </c>
      <c r="B8" s="24" t="s">
        <v>90</v>
      </c>
      <c r="C8" s="24" t="s">
        <v>196</v>
      </c>
      <c r="D8" s="24" t="s">
        <v>239</v>
      </c>
      <c r="E8" s="30">
        <v>5500</v>
      </c>
      <c r="F8" s="27">
        <v>4700</v>
      </c>
      <c r="G8" s="14" t="s">
        <v>112</v>
      </c>
      <c r="H8" s="24" t="s">
        <v>240</v>
      </c>
      <c r="I8" s="24" t="s">
        <v>241</v>
      </c>
      <c r="J8" s="23" t="str">
        <f t="shared" ref="J8:J17" si="0">IF(B8="","",IF(OR(H8="",I8=""),"BLOCKED - reference document number and type are mandatory",IF(F8&gt;3*E8,"WARNING - actual is over 3x the plan; check for a typing error (e.g. 4,000 keyed as 40,000)","OK")))</f>
        <v>OK</v>
      </c>
    </row>
    <row r="9" spans="1:10" ht="30.75" customHeight="1" x14ac:dyDescent="0.55000000000000004">
      <c r="A9" s="20">
        <v>2</v>
      </c>
      <c r="B9" s="24" t="s">
        <v>90</v>
      </c>
      <c r="C9" s="24" t="s">
        <v>194</v>
      </c>
      <c r="D9" s="24" t="s">
        <v>239</v>
      </c>
      <c r="E9" s="30">
        <v>20000</v>
      </c>
      <c r="F9" s="27">
        <v>19200</v>
      </c>
      <c r="G9" s="14" t="s">
        <v>195</v>
      </c>
      <c r="H9" s="24" t="s">
        <v>242</v>
      </c>
      <c r="I9" s="24" t="s">
        <v>243</v>
      </c>
      <c r="J9" s="23" t="str">
        <f t="shared" si="0"/>
        <v>OK</v>
      </c>
    </row>
    <row r="10" spans="1:10" ht="30.75" customHeight="1" x14ac:dyDescent="0.55000000000000004">
      <c r="A10" s="20">
        <v>3</v>
      </c>
      <c r="B10" s="24" t="s">
        <v>197</v>
      </c>
      <c r="C10" s="24" t="s">
        <v>196</v>
      </c>
      <c r="D10" s="24" t="s">
        <v>239</v>
      </c>
      <c r="E10" s="30">
        <v>2500</v>
      </c>
      <c r="F10" s="27">
        <v>2450</v>
      </c>
      <c r="G10" s="14" t="s">
        <v>112</v>
      </c>
      <c r="H10" s="24" t="s">
        <v>244</v>
      </c>
      <c r="I10" s="24" t="s">
        <v>241</v>
      </c>
      <c r="J10" s="23" t="str">
        <f t="shared" si="0"/>
        <v>OK</v>
      </c>
    </row>
    <row r="11" spans="1:10" ht="30" customHeight="1" x14ac:dyDescent="0.55000000000000004">
      <c r="A11" s="20">
        <v>4</v>
      </c>
      <c r="B11" s="24" t="s">
        <v>198</v>
      </c>
      <c r="C11" s="24" t="s">
        <v>196</v>
      </c>
      <c r="D11" s="24" t="s">
        <v>239</v>
      </c>
      <c r="E11" s="30">
        <v>1200</v>
      </c>
      <c r="F11" s="27">
        <v>1190</v>
      </c>
      <c r="G11" s="14" t="s">
        <v>112</v>
      </c>
      <c r="H11" s="24"/>
      <c r="I11" s="24"/>
      <c r="J11" s="23" t="str">
        <f t="shared" si="0"/>
        <v>BLOCKED - reference document number and type are mandatory</v>
      </c>
    </row>
    <row r="12" spans="1:10" ht="30.75" customHeight="1" x14ac:dyDescent="0.55000000000000004">
      <c r="A12" s="20">
        <v>5</v>
      </c>
      <c r="B12" s="24" t="s">
        <v>198</v>
      </c>
      <c r="C12" s="24" t="s">
        <v>194</v>
      </c>
      <c r="D12" s="24" t="s">
        <v>239</v>
      </c>
      <c r="E12" s="30">
        <v>4000</v>
      </c>
      <c r="F12" s="27">
        <v>40000</v>
      </c>
      <c r="G12" s="14" t="s">
        <v>195</v>
      </c>
      <c r="H12" s="24" t="s">
        <v>245</v>
      </c>
      <c r="I12" s="24" t="s">
        <v>243</v>
      </c>
      <c r="J12" s="23" t="str">
        <f t="shared" si="0"/>
        <v>WARNING - actual is over 3x the plan; check for a typing error (e.g. 4,000 keyed as 40,000)</v>
      </c>
    </row>
    <row r="13" spans="1:10" ht="30" customHeight="1" x14ac:dyDescent="0.55000000000000004">
      <c r="A13" s="20">
        <v>6</v>
      </c>
      <c r="B13" s="15"/>
      <c r="C13" s="15"/>
      <c r="D13" s="15"/>
      <c r="E13" s="29"/>
      <c r="F13" s="29"/>
      <c r="G13" s="20"/>
      <c r="H13" s="15"/>
      <c r="I13" s="15"/>
      <c r="J13" s="23" t="str">
        <f t="shared" si="0"/>
        <v/>
      </c>
    </row>
    <row r="14" spans="1:10" ht="30" customHeight="1" x14ac:dyDescent="0.55000000000000004">
      <c r="A14" s="20">
        <v>7</v>
      </c>
      <c r="B14" s="15"/>
      <c r="C14" s="15"/>
      <c r="D14" s="15"/>
      <c r="E14" s="29"/>
      <c r="F14" s="29"/>
      <c r="G14" s="20"/>
      <c r="H14" s="15"/>
      <c r="I14" s="15"/>
      <c r="J14" s="23" t="str">
        <f t="shared" si="0"/>
        <v/>
      </c>
    </row>
    <row r="15" spans="1:10" ht="30" customHeight="1" x14ac:dyDescent="0.55000000000000004">
      <c r="A15" s="20">
        <v>8</v>
      </c>
      <c r="B15" s="15"/>
      <c r="C15" s="15"/>
      <c r="D15" s="15"/>
      <c r="E15" s="29"/>
      <c r="F15" s="29"/>
      <c r="G15" s="20"/>
      <c r="H15" s="15"/>
      <c r="I15" s="15"/>
      <c r="J15" s="23" t="str">
        <f t="shared" si="0"/>
        <v/>
      </c>
    </row>
    <row r="16" spans="1:10" ht="30" customHeight="1" x14ac:dyDescent="0.55000000000000004">
      <c r="A16" s="20">
        <v>9</v>
      </c>
      <c r="B16" s="15"/>
      <c r="C16" s="15"/>
      <c r="D16" s="15"/>
      <c r="E16" s="29"/>
      <c r="F16" s="29"/>
      <c r="G16" s="20"/>
      <c r="H16" s="15"/>
      <c r="I16" s="15"/>
      <c r="J16" s="23" t="str">
        <f t="shared" si="0"/>
        <v/>
      </c>
    </row>
    <row r="17" spans="1:10" ht="30" customHeight="1" x14ac:dyDescent="0.55000000000000004">
      <c r="A17" s="20">
        <v>10</v>
      </c>
      <c r="B17" s="15"/>
      <c r="C17" s="15"/>
      <c r="D17" s="15"/>
      <c r="E17" s="29"/>
      <c r="F17" s="29"/>
      <c r="G17" s="20"/>
      <c r="H17" s="15"/>
      <c r="I17" s="15"/>
      <c r="J17" s="23" t="str">
        <f t="shared" si="0"/>
        <v/>
      </c>
    </row>
    <row r="19" spans="1:10" ht="18" customHeight="1" x14ac:dyDescent="0.55000000000000004">
      <c r="A19" s="9" t="s">
        <v>133</v>
      </c>
      <c r="B19" s="9"/>
      <c r="C19" s="9"/>
      <c r="D19" s="9"/>
      <c r="E19" s="9"/>
      <c r="F19" s="9"/>
      <c r="G19" s="9"/>
      <c r="H19" s="9"/>
      <c r="I19" s="9"/>
      <c r="J19" s="9"/>
    </row>
    <row r="20" spans="1:10" ht="30" customHeight="1" x14ac:dyDescent="0.55000000000000004">
      <c r="A20" s="7" t="s">
        <v>246</v>
      </c>
      <c r="B20" s="7"/>
      <c r="C20" s="7"/>
      <c r="D20" s="7"/>
      <c r="E20" s="7"/>
      <c r="F20" s="7"/>
      <c r="G20" s="7"/>
      <c r="H20" s="7"/>
      <c r="I20" s="7"/>
      <c r="J20" s="7"/>
    </row>
    <row r="21" spans="1:10" ht="30.75" customHeight="1" x14ac:dyDescent="0.55000000000000004">
      <c r="A21" s="7" t="s">
        <v>247</v>
      </c>
      <c r="B21" s="7"/>
      <c r="C21" s="7"/>
      <c r="D21" s="7"/>
      <c r="E21" s="7"/>
      <c r="F21" s="7"/>
      <c r="G21" s="7"/>
      <c r="H21" s="7"/>
      <c r="I21" s="7"/>
      <c r="J21" s="7"/>
    </row>
    <row r="22" spans="1:10" ht="30" customHeight="1" x14ac:dyDescent="0.55000000000000004">
      <c r="A22" s="7" t="s">
        <v>248</v>
      </c>
      <c r="B22" s="7"/>
      <c r="C22" s="7"/>
      <c r="D22" s="7"/>
      <c r="E22" s="7"/>
      <c r="F22" s="7"/>
      <c r="G22" s="7"/>
      <c r="H22" s="7"/>
      <c r="I22" s="7"/>
      <c r="J22" s="7"/>
    </row>
    <row r="24" spans="1:10" ht="30.75" customHeight="1" x14ac:dyDescent="0.55000000000000004">
      <c r="A24" s="44" t="s">
        <v>249</v>
      </c>
      <c r="B24" s="44"/>
      <c r="C24" s="44"/>
      <c r="D24" s="44"/>
      <c r="E24" s="44"/>
    </row>
    <row r="25" spans="1:10" ht="19.5" customHeight="1" x14ac:dyDescent="0.55000000000000004">
      <c r="A25" s="8" t="s">
        <v>129</v>
      </c>
      <c r="B25" s="8"/>
      <c r="C25" s="8"/>
      <c r="D25" s="8"/>
      <c r="E25" s="8"/>
    </row>
    <row r="26" spans="1:10" ht="19.5" customHeight="1" x14ac:dyDescent="0.55000000000000004">
      <c r="A26" s="8" t="s">
        <v>130</v>
      </c>
      <c r="B26" s="8"/>
      <c r="C26" s="8"/>
      <c r="D26" s="8"/>
      <c r="E26" s="8"/>
    </row>
    <row r="27" spans="1:10" ht="43.5" customHeight="1" x14ac:dyDescent="0.55000000000000004">
      <c r="A27" s="45" t="s">
        <v>131</v>
      </c>
      <c r="B27" s="45"/>
      <c r="C27" s="45"/>
      <c r="D27" s="45"/>
      <c r="E27" s="45"/>
    </row>
    <row r="28" spans="1:10" ht="19.5" customHeight="1" x14ac:dyDescent="0.55000000000000004">
      <c r="A28" s="8" t="s">
        <v>132</v>
      </c>
      <c r="B28" s="8"/>
      <c r="C28" s="8"/>
      <c r="D28" s="8"/>
      <c r="E28" s="8"/>
    </row>
  </sheetData>
  <mergeCells count="16">
    <mergeCell ref="A25:E25"/>
    <mergeCell ref="A26:E26"/>
    <mergeCell ref="A27:E27"/>
    <mergeCell ref="A28:E28"/>
    <mergeCell ref="A19:J19"/>
    <mergeCell ref="A20:J20"/>
    <mergeCell ref="A21:J21"/>
    <mergeCell ref="A22:J22"/>
    <mergeCell ref="A24:E24"/>
    <mergeCell ref="A1:B3"/>
    <mergeCell ref="C1:J1"/>
    <mergeCell ref="C2:J2"/>
    <mergeCell ref="C3:J3"/>
    <mergeCell ref="A5:B5"/>
    <mergeCell ref="D5:F5"/>
    <mergeCell ref="G5:J5"/>
  </mergeCells>
  <pageMargins left="0.5" right="0.5" top="1" bottom="1" header="0.511811023622047" footer="0.5"/>
  <pageSetup paperSize="9" fitToHeight="0" orientation="landscape" horizontalDpi="300" verticalDpi="300"/>
  <headerFooter>
    <oddFooter>&amp;LPL-05 | Crest Point Consulting Group&amp;CPage &amp;P of &amp;N&amp;RStrictly Confidential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F7F7F"/>
    <pageSetUpPr fitToPage="1"/>
  </sheetPr>
  <dimension ref="A1:K24"/>
  <sheetViews>
    <sheetView showGridLines="0" zoomScaleNormal="100" workbookViewId="0">
      <pane ySplit="5" topLeftCell="A6" activePane="bottomLeft" state="frozen"/>
      <selection pane="bottomLeft"/>
    </sheetView>
  </sheetViews>
  <sheetFormatPr defaultColWidth="8.68359375" defaultRowHeight="14.4" x14ac:dyDescent="0.55000000000000004"/>
  <cols>
    <col min="1" max="1" width="16" customWidth="1"/>
    <col min="2" max="2" width="34" customWidth="1"/>
    <col min="3" max="3" width="13" customWidth="1"/>
    <col min="4" max="4" width="10" customWidth="1"/>
    <col min="5" max="7" width="15" customWidth="1"/>
    <col min="8" max="8" width="12" customWidth="1"/>
    <col min="9" max="9" width="18" customWidth="1"/>
    <col min="10" max="10" width="12" customWidth="1"/>
    <col min="11" max="11" width="38" customWidth="1"/>
  </cols>
  <sheetData>
    <row r="1" spans="1:11" ht="30.75" customHeight="1" x14ac:dyDescent="0.55000000000000004">
      <c r="A1" s="6" t="s">
        <v>80</v>
      </c>
      <c r="B1" s="6"/>
      <c r="C1" s="5" t="s">
        <v>0</v>
      </c>
      <c r="D1" s="5"/>
      <c r="E1" s="5"/>
      <c r="F1" s="5"/>
      <c r="G1" s="5"/>
      <c r="H1" s="5"/>
      <c r="I1" s="5"/>
      <c r="J1" s="5"/>
      <c r="K1" s="5"/>
    </row>
    <row r="2" spans="1:11" ht="21.75" customHeight="1" x14ac:dyDescent="0.55000000000000004">
      <c r="A2" s="6"/>
      <c r="B2" s="6"/>
      <c r="C2" s="4" t="s">
        <v>250</v>
      </c>
      <c r="D2" s="4"/>
      <c r="E2" s="4"/>
      <c r="F2" s="4"/>
      <c r="G2" s="4"/>
      <c r="H2" s="4"/>
      <c r="I2" s="4"/>
      <c r="J2" s="4"/>
      <c r="K2" s="4"/>
    </row>
    <row r="3" spans="1:11" ht="21.75" customHeight="1" x14ac:dyDescent="0.55000000000000004">
      <c r="A3" s="6"/>
      <c r="B3" s="6"/>
      <c r="C3" s="3" t="s">
        <v>251</v>
      </c>
      <c r="D3" s="3"/>
      <c r="E3" s="3"/>
      <c r="F3" s="3"/>
      <c r="G3" s="3"/>
      <c r="H3" s="3"/>
      <c r="I3" s="3"/>
      <c r="J3" s="3"/>
      <c r="K3" s="3"/>
    </row>
    <row r="5" spans="1:11" ht="39.75" customHeight="1" x14ac:dyDescent="0.55000000000000004">
      <c r="A5" s="19" t="s">
        <v>105</v>
      </c>
      <c r="B5" s="19" t="s">
        <v>252</v>
      </c>
      <c r="C5" s="19" t="s">
        <v>253</v>
      </c>
      <c r="D5" s="19" t="s">
        <v>108</v>
      </c>
      <c r="E5" s="19" t="s">
        <v>254</v>
      </c>
      <c r="F5" s="19" t="s">
        <v>255</v>
      </c>
      <c r="G5" s="19" t="s">
        <v>256</v>
      </c>
      <c r="H5" s="19" t="s">
        <v>257</v>
      </c>
      <c r="I5" s="19" t="s">
        <v>258</v>
      </c>
      <c r="J5" s="19" t="s">
        <v>259</v>
      </c>
      <c r="K5" s="19" t="s">
        <v>260</v>
      </c>
    </row>
    <row r="6" spans="1:11" ht="24" customHeight="1" x14ac:dyDescent="0.55000000000000004">
      <c r="A6" s="24" t="s">
        <v>90</v>
      </c>
      <c r="B6" s="24" t="s">
        <v>261</v>
      </c>
      <c r="C6" s="24" t="s">
        <v>262</v>
      </c>
      <c r="D6" s="24" t="s">
        <v>112</v>
      </c>
      <c r="E6" s="30">
        <v>5500</v>
      </c>
      <c r="F6" s="30">
        <v>4700</v>
      </c>
      <c r="G6" s="33">
        <f t="shared" ref="G6:G17" si="0">IF(A6="","",F6-E6)</f>
        <v>-800</v>
      </c>
      <c r="H6" s="35">
        <f t="shared" ref="H6:H17" si="1">IF(A6="","",IF(N(E6)=0,"n/a",G6/E6))</f>
        <v>-0.14545454545454545</v>
      </c>
      <c r="I6" s="24" t="s">
        <v>263</v>
      </c>
      <c r="J6" s="36">
        <v>0.1</v>
      </c>
      <c r="K6" s="23" t="str">
        <f t="shared" ref="K6:K17" si="2">IF(A6="","",IF(H6="n/a","n/a - no plan",IF(I6="Higher is better",IF(H6&lt;-J6,"ALERT - below plan beyond threshold",IF(H6&lt;0,"Below plan - within threshold","On or above plan")),IF(H6&gt;J6,"ALERT - above plan beyond threshold",IF(H6&gt;0,"Above plan - within threshold","On or below plan")))))</f>
        <v>ALERT - below plan beyond threshold</v>
      </c>
    </row>
    <row r="7" spans="1:11" ht="24" customHeight="1" x14ac:dyDescent="0.55000000000000004">
      <c r="A7" s="24" t="s">
        <v>90</v>
      </c>
      <c r="B7" s="24" t="s">
        <v>113</v>
      </c>
      <c r="C7" s="24" t="s">
        <v>262</v>
      </c>
      <c r="D7" s="24" t="s">
        <v>195</v>
      </c>
      <c r="E7" s="30">
        <v>20000</v>
      </c>
      <c r="F7" s="30">
        <v>19200</v>
      </c>
      <c r="G7" s="33">
        <f t="shared" si="0"/>
        <v>-800</v>
      </c>
      <c r="H7" s="35">
        <f t="shared" si="1"/>
        <v>-0.04</v>
      </c>
      <c r="I7" s="24" t="s">
        <v>263</v>
      </c>
      <c r="J7" s="36">
        <v>0.1</v>
      </c>
      <c r="K7" s="23" t="str">
        <f t="shared" si="2"/>
        <v>Below plan - within threshold</v>
      </c>
    </row>
    <row r="8" spans="1:11" ht="24" customHeight="1" x14ac:dyDescent="0.55000000000000004">
      <c r="A8" s="24" t="s">
        <v>197</v>
      </c>
      <c r="B8" s="24" t="s">
        <v>261</v>
      </c>
      <c r="C8" s="24" t="s">
        <v>262</v>
      </c>
      <c r="D8" s="24" t="s">
        <v>112</v>
      </c>
      <c r="E8" s="30">
        <v>2500</v>
      </c>
      <c r="F8" s="30">
        <v>2450</v>
      </c>
      <c r="G8" s="33">
        <f t="shared" si="0"/>
        <v>-50</v>
      </c>
      <c r="H8" s="35">
        <f t="shared" si="1"/>
        <v>-0.02</v>
      </c>
      <c r="I8" s="24" t="s">
        <v>263</v>
      </c>
      <c r="J8" s="36">
        <v>0.1</v>
      </c>
      <c r="K8" s="23" t="str">
        <f t="shared" si="2"/>
        <v>Below plan - within threshold</v>
      </c>
    </row>
    <row r="9" spans="1:11" ht="24" customHeight="1" x14ac:dyDescent="0.55000000000000004">
      <c r="A9" s="24" t="s">
        <v>90</v>
      </c>
      <c r="B9" s="24" t="s">
        <v>115</v>
      </c>
      <c r="C9" s="24" t="s">
        <v>264</v>
      </c>
      <c r="D9" s="24" t="s">
        <v>94</v>
      </c>
      <c r="E9" s="30">
        <v>2500000</v>
      </c>
      <c r="F9" s="30">
        <v>2150000</v>
      </c>
      <c r="G9" s="33">
        <f t="shared" si="0"/>
        <v>-350000</v>
      </c>
      <c r="H9" s="35">
        <f t="shared" si="1"/>
        <v>-0.14000000000000001</v>
      </c>
      <c r="I9" s="24" t="s">
        <v>263</v>
      </c>
      <c r="J9" s="36">
        <v>0.1</v>
      </c>
      <c r="K9" s="23" t="str">
        <f t="shared" si="2"/>
        <v>ALERT - below plan beyond threshold</v>
      </c>
    </row>
    <row r="10" spans="1:11" ht="30.75" customHeight="1" x14ac:dyDescent="0.55000000000000004">
      <c r="A10" s="24" t="s">
        <v>90</v>
      </c>
      <c r="B10" s="24" t="s">
        <v>265</v>
      </c>
      <c r="C10" s="24" t="s">
        <v>264</v>
      </c>
      <c r="D10" s="24" t="s">
        <v>94</v>
      </c>
      <c r="E10" s="30">
        <v>300000</v>
      </c>
      <c r="F10" s="30">
        <v>372000</v>
      </c>
      <c r="G10" s="33">
        <f t="shared" si="0"/>
        <v>72000</v>
      </c>
      <c r="H10" s="35">
        <f t="shared" si="1"/>
        <v>0.24</v>
      </c>
      <c r="I10" s="24" t="s">
        <v>266</v>
      </c>
      <c r="J10" s="36">
        <v>0.15</v>
      </c>
      <c r="K10" s="23" t="str">
        <f t="shared" si="2"/>
        <v>ALERT - above plan beyond threshold</v>
      </c>
    </row>
    <row r="11" spans="1:11" ht="24" customHeight="1" x14ac:dyDescent="0.55000000000000004">
      <c r="A11" s="24" t="s">
        <v>197</v>
      </c>
      <c r="B11" s="24" t="s">
        <v>267</v>
      </c>
      <c r="C11" s="24" t="s">
        <v>264</v>
      </c>
      <c r="D11" s="24" t="s">
        <v>94</v>
      </c>
      <c r="E11" s="30">
        <v>240500</v>
      </c>
      <c r="F11" s="30">
        <v>246000</v>
      </c>
      <c r="G11" s="33">
        <f t="shared" si="0"/>
        <v>5500</v>
      </c>
      <c r="H11" s="35">
        <f t="shared" si="1"/>
        <v>2.286902286902287E-2</v>
      </c>
      <c r="I11" s="24" t="s">
        <v>266</v>
      </c>
      <c r="J11" s="36">
        <v>0.15</v>
      </c>
      <c r="K11" s="23" t="str">
        <f t="shared" si="2"/>
        <v>Above plan - within threshold</v>
      </c>
    </row>
    <row r="12" spans="1:11" ht="24" customHeight="1" x14ac:dyDescent="0.55000000000000004">
      <c r="A12" s="24" t="s">
        <v>118</v>
      </c>
      <c r="B12" s="24" t="s">
        <v>268</v>
      </c>
      <c r="C12" s="24" t="s">
        <v>264</v>
      </c>
      <c r="D12" s="24" t="s">
        <v>94</v>
      </c>
      <c r="E12" s="30">
        <v>35000</v>
      </c>
      <c r="F12" s="30">
        <v>33000</v>
      </c>
      <c r="G12" s="33">
        <f t="shared" si="0"/>
        <v>-2000</v>
      </c>
      <c r="H12" s="35">
        <f t="shared" si="1"/>
        <v>-5.7142857142857141E-2</v>
      </c>
      <c r="I12" s="24" t="s">
        <v>266</v>
      </c>
      <c r="J12" s="36">
        <v>0.15</v>
      </c>
      <c r="K12" s="23" t="str">
        <f t="shared" si="2"/>
        <v>On or below plan</v>
      </c>
    </row>
    <row r="13" spans="1:11" ht="24" customHeight="1" x14ac:dyDescent="0.55000000000000004">
      <c r="A13" s="24" t="s">
        <v>118</v>
      </c>
      <c r="B13" s="24" t="s">
        <v>119</v>
      </c>
      <c r="C13" s="24" t="s">
        <v>264</v>
      </c>
      <c r="D13" s="24" t="s">
        <v>94</v>
      </c>
      <c r="E13" s="30">
        <v>100000</v>
      </c>
      <c r="F13" s="30">
        <v>100000</v>
      </c>
      <c r="G13" s="33">
        <f t="shared" si="0"/>
        <v>0</v>
      </c>
      <c r="H13" s="35">
        <f t="shared" si="1"/>
        <v>0</v>
      </c>
      <c r="I13" s="24" t="s">
        <v>263</v>
      </c>
      <c r="J13" s="36">
        <v>0.1</v>
      </c>
      <c r="K13" s="23" t="str">
        <f t="shared" si="2"/>
        <v>On or above plan</v>
      </c>
    </row>
    <row r="14" spans="1:11" ht="24" customHeight="1" x14ac:dyDescent="0.55000000000000004">
      <c r="A14" s="15"/>
      <c r="B14" s="15"/>
      <c r="C14" s="15"/>
      <c r="D14" s="15"/>
      <c r="E14" s="29"/>
      <c r="F14" s="29"/>
      <c r="G14" s="33" t="str">
        <f t="shared" si="0"/>
        <v/>
      </c>
      <c r="H14" s="35" t="str">
        <f t="shared" si="1"/>
        <v/>
      </c>
      <c r="I14" s="15"/>
      <c r="J14" s="37"/>
      <c r="K14" s="23" t="str">
        <f t="shared" si="2"/>
        <v/>
      </c>
    </row>
    <row r="15" spans="1:11" ht="24" customHeight="1" x14ac:dyDescent="0.55000000000000004">
      <c r="A15" s="15"/>
      <c r="B15" s="15"/>
      <c r="C15" s="15"/>
      <c r="D15" s="15"/>
      <c r="E15" s="29"/>
      <c r="F15" s="29"/>
      <c r="G15" s="33" t="str">
        <f t="shared" si="0"/>
        <v/>
      </c>
      <c r="H15" s="35" t="str">
        <f t="shared" si="1"/>
        <v/>
      </c>
      <c r="I15" s="15"/>
      <c r="J15" s="37"/>
      <c r="K15" s="23" t="str">
        <f t="shared" si="2"/>
        <v/>
      </c>
    </row>
    <row r="16" spans="1:11" ht="24" customHeight="1" x14ac:dyDescent="0.55000000000000004">
      <c r="A16" s="15"/>
      <c r="B16" s="15"/>
      <c r="C16" s="15"/>
      <c r="D16" s="15"/>
      <c r="E16" s="29"/>
      <c r="F16" s="29"/>
      <c r="G16" s="33" t="str">
        <f t="shared" si="0"/>
        <v/>
      </c>
      <c r="H16" s="35" t="str">
        <f t="shared" si="1"/>
        <v/>
      </c>
      <c r="I16" s="15"/>
      <c r="J16" s="37"/>
      <c r="K16" s="23" t="str">
        <f t="shared" si="2"/>
        <v/>
      </c>
    </row>
    <row r="17" spans="1:11" ht="24" customHeight="1" x14ac:dyDescent="0.55000000000000004">
      <c r="A17" s="15"/>
      <c r="B17" s="15"/>
      <c r="C17" s="15"/>
      <c r="D17" s="15"/>
      <c r="E17" s="29"/>
      <c r="F17" s="29"/>
      <c r="G17" s="33" t="str">
        <f t="shared" si="0"/>
        <v/>
      </c>
      <c r="H17" s="35" t="str">
        <f t="shared" si="1"/>
        <v/>
      </c>
      <c r="I17" s="15"/>
      <c r="J17" s="37"/>
      <c r="K17" s="23" t="str">
        <f t="shared" si="2"/>
        <v/>
      </c>
    </row>
    <row r="19" spans="1:11" ht="18" customHeight="1" x14ac:dyDescent="0.55000000000000004">
      <c r="A19" s="48" t="s">
        <v>269</v>
      </c>
      <c r="B19" s="48"/>
      <c r="C19" s="48"/>
      <c r="D19" s="48"/>
      <c r="E19" s="48"/>
      <c r="F19" s="48"/>
      <c r="G19" s="48"/>
      <c r="H19" s="48"/>
      <c r="I19" s="48"/>
      <c r="J19" s="48"/>
      <c r="K19" s="25">
        <f>COUNTIF(K6:K17,"ALERT*")</f>
        <v>3</v>
      </c>
    </row>
    <row r="21" spans="1:11" ht="18" customHeight="1" x14ac:dyDescent="0.55000000000000004">
      <c r="A21" s="9" t="s">
        <v>133</v>
      </c>
      <c r="B21" s="9"/>
      <c r="C21" s="9"/>
      <c r="D21" s="9"/>
      <c r="E21" s="9"/>
      <c r="F21" s="9"/>
      <c r="G21" s="9"/>
      <c r="H21" s="9"/>
      <c r="I21" s="9"/>
      <c r="J21" s="9"/>
      <c r="K21" s="9"/>
    </row>
    <row r="22" spans="1:11" ht="30.75" customHeight="1" x14ac:dyDescent="0.55000000000000004">
      <c r="A22" s="7" t="s">
        <v>270</v>
      </c>
      <c r="B22" s="7"/>
      <c r="C22" s="7"/>
      <c r="D22" s="7"/>
      <c r="E22" s="7"/>
      <c r="F22" s="7"/>
      <c r="G22" s="7"/>
      <c r="H22" s="7"/>
      <c r="I22" s="7"/>
      <c r="J22" s="7"/>
      <c r="K22" s="7"/>
    </row>
    <row r="23" spans="1:11" ht="27.75" customHeight="1" x14ac:dyDescent="0.55000000000000004">
      <c r="A23" s="7" t="s">
        <v>271</v>
      </c>
      <c r="B23" s="7"/>
      <c r="C23" s="7"/>
      <c r="D23" s="7"/>
      <c r="E23" s="7"/>
      <c r="F23" s="7"/>
      <c r="G23" s="7"/>
      <c r="H23" s="7"/>
      <c r="I23" s="7"/>
      <c r="J23" s="7"/>
      <c r="K23" s="7"/>
    </row>
    <row r="24" spans="1:11" ht="27.75" customHeight="1" x14ac:dyDescent="0.55000000000000004">
      <c r="A24" s="7" t="s">
        <v>272</v>
      </c>
      <c r="B24" s="7"/>
      <c r="C24" s="7"/>
      <c r="D24" s="7"/>
      <c r="E24" s="7"/>
      <c r="F24" s="7"/>
      <c r="G24" s="7"/>
      <c r="H24" s="7"/>
      <c r="I24" s="7"/>
      <c r="J24" s="7"/>
      <c r="K24" s="7"/>
    </row>
  </sheetData>
  <mergeCells count="9">
    <mergeCell ref="A21:K21"/>
    <mergeCell ref="A22:K22"/>
    <mergeCell ref="A23:K23"/>
    <mergeCell ref="A24:K24"/>
    <mergeCell ref="A1:B3"/>
    <mergeCell ref="C1:K1"/>
    <mergeCell ref="C2:K2"/>
    <mergeCell ref="C3:K3"/>
    <mergeCell ref="A19:J19"/>
  </mergeCells>
  <dataValidations count="1">
    <dataValidation type="list" allowBlank="1" sqref="I6:I17" xr:uid="{00000000-0002-0000-0600-000000000000}">
      <formula1>"Higher is better,Lower is better"</formula1>
      <formula2>0</formula2>
    </dataValidation>
  </dataValidations>
  <pageMargins left="0.5" right="0.5" top="1" bottom="1" header="0.511811023622047" footer="0.5"/>
  <pageSetup paperSize="9" fitToHeight="0" orientation="landscape" horizontalDpi="300" verticalDpi="300"/>
  <headerFooter>
    <oddFooter>&amp;LPL-06 | Crest Point Consulting Group&amp;CPage &amp;P of &amp;N&amp;RStrictly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F7F7F"/>
    <pageSetUpPr fitToPage="1"/>
  </sheetPr>
  <dimension ref="A1:F26"/>
  <sheetViews>
    <sheetView showGridLines="0" zoomScaleNormal="100" workbookViewId="0"/>
  </sheetViews>
  <sheetFormatPr defaultColWidth="8.68359375" defaultRowHeight="14.4" x14ac:dyDescent="0.55000000000000004"/>
  <cols>
    <col min="1" max="1" width="8" customWidth="1"/>
    <col min="2" max="2" width="34" customWidth="1"/>
    <col min="3" max="3" width="20" customWidth="1"/>
    <col min="4" max="4" width="16" customWidth="1"/>
    <col min="5" max="5" width="36" customWidth="1"/>
    <col min="6" max="6" width="40" customWidth="1"/>
  </cols>
  <sheetData>
    <row r="1" spans="1:6" ht="43.5" customHeight="1" x14ac:dyDescent="0.55000000000000004">
      <c r="A1" s="6" t="s">
        <v>80</v>
      </c>
      <c r="B1" s="6"/>
      <c r="C1" s="5" t="s">
        <v>0</v>
      </c>
      <c r="D1" s="5"/>
      <c r="E1" s="5"/>
      <c r="F1" s="5"/>
    </row>
    <row r="2" spans="1:6" ht="21.75" customHeight="1" x14ac:dyDescent="0.55000000000000004">
      <c r="A2" s="6"/>
      <c r="B2" s="6"/>
      <c r="C2" s="4" t="s">
        <v>273</v>
      </c>
      <c r="D2" s="4"/>
      <c r="E2" s="4"/>
      <c r="F2" s="4"/>
    </row>
    <row r="3" spans="1:6" ht="21.75" customHeight="1" x14ac:dyDescent="0.55000000000000004">
      <c r="A3" s="6"/>
      <c r="B3" s="6"/>
      <c r="C3" s="3" t="s">
        <v>274</v>
      </c>
      <c r="D3" s="3"/>
      <c r="E3" s="3"/>
      <c r="F3" s="3"/>
    </row>
    <row r="5" spans="1:6" ht="18" customHeight="1" x14ac:dyDescent="0.55000000000000004">
      <c r="A5" s="2" t="s">
        <v>275</v>
      </c>
      <c r="B5" s="2"/>
      <c r="C5" s="2"/>
      <c r="D5" s="2"/>
      <c r="E5" s="2"/>
      <c r="F5" s="2"/>
    </row>
    <row r="6" spans="1:6" ht="30.75" customHeight="1" x14ac:dyDescent="0.55000000000000004">
      <c r="A6" s="19" t="s">
        <v>104</v>
      </c>
      <c r="B6" s="19" t="s">
        <v>276</v>
      </c>
      <c r="C6" s="19" t="s">
        <v>258</v>
      </c>
      <c r="D6" s="19" t="s">
        <v>259</v>
      </c>
      <c r="E6" s="19" t="s">
        <v>277</v>
      </c>
      <c r="F6" s="19" t="s">
        <v>278</v>
      </c>
    </row>
    <row r="7" spans="1:6" ht="30.75" customHeight="1" x14ac:dyDescent="0.55000000000000004">
      <c r="A7" s="20">
        <v>1</v>
      </c>
      <c r="B7" s="15" t="s">
        <v>279</v>
      </c>
      <c r="C7" s="24" t="s">
        <v>263</v>
      </c>
      <c r="D7" s="36">
        <v>0.1</v>
      </c>
      <c r="E7" s="22" t="s">
        <v>280</v>
      </c>
      <c r="F7" s="22" t="s">
        <v>281</v>
      </c>
    </row>
    <row r="8" spans="1:6" ht="25.5" customHeight="1" x14ac:dyDescent="0.55000000000000004">
      <c r="A8" s="20">
        <v>2</v>
      </c>
      <c r="B8" s="15" t="s">
        <v>282</v>
      </c>
      <c r="C8" s="24" t="s">
        <v>263</v>
      </c>
      <c r="D8" s="36">
        <v>0.1</v>
      </c>
      <c r="E8" s="22" t="s">
        <v>283</v>
      </c>
      <c r="F8" s="22" t="s">
        <v>284</v>
      </c>
    </row>
    <row r="9" spans="1:6" ht="25.5" customHeight="1" x14ac:dyDescent="0.55000000000000004">
      <c r="A9" s="20">
        <v>3</v>
      </c>
      <c r="B9" s="15" t="s">
        <v>116</v>
      </c>
      <c r="C9" s="24" t="s">
        <v>263</v>
      </c>
      <c r="D9" s="36">
        <v>0.1</v>
      </c>
      <c r="E9" s="22" t="s">
        <v>283</v>
      </c>
      <c r="F9" s="22" t="s">
        <v>284</v>
      </c>
    </row>
    <row r="10" spans="1:6" ht="25.5" customHeight="1" x14ac:dyDescent="0.55000000000000004">
      <c r="A10" s="20">
        <v>4</v>
      </c>
      <c r="B10" s="15" t="s">
        <v>120</v>
      </c>
      <c r="C10" s="24" t="s">
        <v>263</v>
      </c>
      <c r="D10" s="36">
        <v>0.1</v>
      </c>
      <c r="E10" s="22" t="s">
        <v>283</v>
      </c>
      <c r="F10" s="22" t="s">
        <v>284</v>
      </c>
    </row>
    <row r="11" spans="1:6" ht="30.75" customHeight="1" x14ac:dyDescent="0.55000000000000004">
      <c r="A11" s="20">
        <v>5</v>
      </c>
      <c r="B11" s="15" t="s">
        <v>285</v>
      </c>
      <c r="C11" s="24" t="s">
        <v>266</v>
      </c>
      <c r="D11" s="36">
        <v>0.15</v>
      </c>
      <c r="E11" s="22" t="s">
        <v>283</v>
      </c>
      <c r="F11" s="22" t="s">
        <v>286</v>
      </c>
    </row>
    <row r="12" spans="1:6" ht="25.5" customHeight="1" x14ac:dyDescent="0.55000000000000004">
      <c r="A12" s="20">
        <v>6</v>
      </c>
      <c r="B12" s="15" t="s">
        <v>287</v>
      </c>
      <c r="C12" s="24" t="s">
        <v>266</v>
      </c>
      <c r="D12" s="36">
        <v>0.15</v>
      </c>
      <c r="E12" s="22" t="s">
        <v>283</v>
      </c>
      <c r="F12" s="22" t="s">
        <v>284</v>
      </c>
    </row>
    <row r="13" spans="1:6" ht="25.5" customHeight="1" x14ac:dyDescent="0.55000000000000004">
      <c r="A13" s="20">
        <v>7</v>
      </c>
      <c r="B13" s="15" t="s">
        <v>126</v>
      </c>
      <c r="C13" s="24" t="s">
        <v>266</v>
      </c>
      <c r="D13" s="36">
        <v>0.1</v>
      </c>
      <c r="E13" s="22" t="s">
        <v>283</v>
      </c>
      <c r="F13" s="22" t="s">
        <v>284</v>
      </c>
    </row>
    <row r="15" spans="1:6" ht="18" customHeight="1" x14ac:dyDescent="0.55000000000000004">
      <c r="A15" s="2" t="s">
        <v>288</v>
      </c>
      <c r="B15" s="2"/>
      <c r="C15" s="2"/>
      <c r="D15" s="2"/>
      <c r="E15" s="2"/>
      <c r="F15" s="2"/>
    </row>
    <row r="16" spans="1:6" ht="27.75" customHeight="1" x14ac:dyDescent="0.55000000000000004">
      <c r="A16" s="19" t="s">
        <v>104</v>
      </c>
      <c r="B16" s="19" t="s">
        <v>289</v>
      </c>
      <c r="C16" s="19" t="s">
        <v>290</v>
      </c>
      <c r="D16" s="19" t="s">
        <v>257</v>
      </c>
      <c r="E16" s="19" t="s">
        <v>291</v>
      </c>
      <c r="F16" s="19" t="s">
        <v>292</v>
      </c>
    </row>
    <row r="17" spans="1:6" ht="30.75" customHeight="1" x14ac:dyDescent="0.55000000000000004">
      <c r="A17" s="20">
        <v>1</v>
      </c>
      <c r="B17" s="38">
        <v>46326.75</v>
      </c>
      <c r="C17" s="23" t="s">
        <v>293</v>
      </c>
      <c r="D17" s="23" t="s">
        <v>294</v>
      </c>
      <c r="E17" s="23" t="s">
        <v>295</v>
      </c>
      <c r="F17" s="23" t="s">
        <v>296</v>
      </c>
    </row>
    <row r="18" spans="1:6" ht="30.75" customHeight="1" x14ac:dyDescent="0.55000000000000004">
      <c r="A18" s="20">
        <v>2</v>
      </c>
      <c r="B18" s="38">
        <v>46326.75</v>
      </c>
      <c r="C18" s="23" t="s">
        <v>297</v>
      </c>
      <c r="D18" s="23" t="s">
        <v>298</v>
      </c>
      <c r="E18" s="23" t="s">
        <v>295</v>
      </c>
      <c r="F18" s="23" t="s">
        <v>296</v>
      </c>
    </row>
    <row r="19" spans="1:6" ht="43.5" customHeight="1" x14ac:dyDescent="0.55000000000000004">
      <c r="A19" s="20">
        <v>3</v>
      </c>
      <c r="B19" s="38">
        <v>46326.75</v>
      </c>
      <c r="C19" s="23" t="s">
        <v>299</v>
      </c>
      <c r="D19" s="23" t="s">
        <v>300</v>
      </c>
      <c r="E19" s="23" t="s">
        <v>301</v>
      </c>
      <c r="F19" s="23" t="s">
        <v>302</v>
      </c>
    </row>
    <row r="20" spans="1:6" ht="25.5" customHeight="1" x14ac:dyDescent="0.55000000000000004">
      <c r="A20" s="20">
        <v>4</v>
      </c>
      <c r="B20" s="15"/>
      <c r="C20" s="15"/>
      <c r="D20" s="15"/>
      <c r="E20" s="15"/>
      <c r="F20" s="15"/>
    </row>
    <row r="21" spans="1:6" ht="25.5" customHeight="1" x14ac:dyDescent="0.55000000000000004">
      <c r="A21" s="20">
        <v>5</v>
      </c>
      <c r="B21" s="15"/>
      <c r="C21" s="15"/>
      <c r="D21" s="15"/>
      <c r="E21" s="15"/>
      <c r="F21" s="15"/>
    </row>
    <row r="22" spans="1:6" ht="25.5" customHeight="1" x14ac:dyDescent="0.55000000000000004">
      <c r="A22" s="20">
        <v>6</v>
      </c>
      <c r="B22" s="15"/>
      <c r="C22" s="15"/>
      <c r="D22" s="15"/>
      <c r="E22" s="15"/>
      <c r="F22" s="15"/>
    </row>
    <row r="24" spans="1:6" ht="18" customHeight="1" x14ac:dyDescent="0.55000000000000004">
      <c r="A24" s="9" t="s">
        <v>133</v>
      </c>
      <c r="B24" s="9"/>
      <c r="C24" s="9"/>
      <c r="D24" s="9"/>
      <c r="E24" s="9"/>
      <c r="F24" s="9"/>
    </row>
    <row r="25" spans="1:6" ht="30.75" customHeight="1" x14ac:dyDescent="0.55000000000000004">
      <c r="A25" s="7" t="s">
        <v>303</v>
      </c>
      <c r="B25" s="7"/>
      <c r="C25" s="7"/>
      <c r="D25" s="7"/>
      <c r="E25" s="7"/>
      <c r="F25" s="7"/>
    </row>
    <row r="26" spans="1:6" ht="30.75" customHeight="1" x14ac:dyDescent="0.55000000000000004">
      <c r="A26" s="7" t="s">
        <v>304</v>
      </c>
      <c r="B26" s="7"/>
      <c r="C26" s="7"/>
      <c r="D26" s="7"/>
      <c r="E26" s="7"/>
      <c r="F26" s="7"/>
    </row>
  </sheetData>
  <mergeCells count="9">
    <mergeCell ref="A15:F15"/>
    <mergeCell ref="A24:F24"/>
    <mergeCell ref="A25:F25"/>
    <mergeCell ref="A26:F26"/>
    <mergeCell ref="A1:B3"/>
    <mergeCell ref="C1:F1"/>
    <mergeCell ref="C2:F2"/>
    <mergeCell ref="C3:F3"/>
    <mergeCell ref="A5:F5"/>
  </mergeCells>
  <dataValidations count="1">
    <dataValidation type="list" allowBlank="1" sqref="C7:C13" xr:uid="{00000000-0002-0000-0700-000000000000}">
      <formula1>"Higher is better,Lower is better"</formula1>
      <formula2>0</formula2>
    </dataValidation>
  </dataValidations>
  <pageMargins left="0.5" right="0.5" top="1" bottom="1" header="0.511811023622047" footer="0.5"/>
  <pageSetup paperSize="9" fitToHeight="0" orientation="landscape" horizontalDpi="300" verticalDpi="300"/>
  <headerFooter>
    <oddFooter>&amp;LPL-07 | Crest Point Consulting Group&amp;CPage &amp;P of &amp;N&amp;RStrictly Confidential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F7F7F"/>
    <pageSetUpPr fitToPage="1"/>
  </sheetPr>
  <dimension ref="A1:F22"/>
  <sheetViews>
    <sheetView showGridLines="0" zoomScaleNormal="100" workbookViewId="0"/>
  </sheetViews>
  <sheetFormatPr defaultColWidth="8.68359375" defaultRowHeight="14.4" x14ac:dyDescent="0.55000000000000004"/>
  <cols>
    <col min="1" max="1" width="40" customWidth="1"/>
    <col min="2" max="4" width="20" customWidth="1"/>
    <col min="5" max="5" width="14" customWidth="1"/>
    <col min="6" max="6" width="20" customWidth="1"/>
  </cols>
  <sheetData>
    <row r="1" spans="1:6" ht="21.75" customHeight="1" x14ac:dyDescent="0.55000000000000004">
      <c r="A1" s="6" t="s">
        <v>80</v>
      </c>
      <c r="B1" s="6"/>
      <c r="C1" s="5" t="s">
        <v>0</v>
      </c>
      <c r="D1" s="5"/>
      <c r="E1" s="5"/>
      <c r="F1" s="5"/>
    </row>
    <row r="2" spans="1:6" ht="21.75" customHeight="1" x14ac:dyDescent="0.55000000000000004">
      <c r="A2" s="6"/>
      <c r="B2" s="6"/>
      <c r="C2" s="4" t="s">
        <v>305</v>
      </c>
      <c r="D2" s="4"/>
      <c r="E2" s="4"/>
      <c r="F2" s="4"/>
    </row>
    <row r="3" spans="1:6" ht="30.75" customHeight="1" x14ac:dyDescent="0.55000000000000004">
      <c r="A3" s="6"/>
      <c r="B3" s="6"/>
      <c r="C3" s="3" t="s">
        <v>306</v>
      </c>
      <c r="D3" s="3"/>
      <c r="E3" s="3"/>
      <c r="F3" s="3"/>
    </row>
    <row r="5" spans="1:6" ht="19.5" customHeight="1" x14ac:dyDescent="0.55000000000000004">
      <c r="A5" s="13" t="s">
        <v>143</v>
      </c>
      <c r="B5" s="23" t="s">
        <v>144</v>
      </c>
      <c r="C5" s="13" t="s">
        <v>233</v>
      </c>
      <c r="D5" s="43" t="s">
        <v>307</v>
      </c>
      <c r="E5" s="43"/>
      <c r="F5" s="43"/>
    </row>
    <row r="6" spans="1:6" ht="30.75" customHeight="1" x14ac:dyDescent="0.55000000000000004">
      <c r="A6" s="13" t="s">
        <v>308</v>
      </c>
      <c r="B6" s="24" t="s">
        <v>309</v>
      </c>
      <c r="C6" s="13" t="s">
        <v>310</v>
      </c>
      <c r="D6" s="43" t="s">
        <v>311</v>
      </c>
      <c r="E6" s="43"/>
      <c r="F6" s="43"/>
    </row>
    <row r="8" spans="1:6" ht="30" customHeight="1" x14ac:dyDescent="0.55000000000000004">
      <c r="A8" s="19" t="s">
        <v>312</v>
      </c>
      <c r="B8" s="19" t="s">
        <v>313</v>
      </c>
      <c r="C8" s="19" t="s">
        <v>314</v>
      </c>
      <c r="D8" s="19" t="s">
        <v>315</v>
      </c>
      <c r="E8" s="19" t="s">
        <v>257</v>
      </c>
      <c r="F8" s="19" t="s">
        <v>316</v>
      </c>
    </row>
    <row r="9" spans="1:6" ht="21.75" customHeight="1" x14ac:dyDescent="0.55000000000000004">
      <c r="A9" s="13" t="s">
        <v>116</v>
      </c>
      <c r="B9" s="33">
        <f>SUMPRODUCT(('PL-04 Financial Plan'!$C$8:$C$19="Main Core Revenue")*'PL-04 Financial Plan'!$E$8:$M$19)</f>
        <v>38700000</v>
      </c>
      <c r="C9" s="31">
        <v>35400000</v>
      </c>
      <c r="D9" s="33">
        <f t="shared" ref="D9:D15" si="0">C9-B9</f>
        <v>-3300000</v>
      </c>
      <c r="E9" s="35">
        <f t="shared" ref="E9:E15" si="1">IF(B9=0,"n/a",D9/B9)</f>
        <v>-8.5271317829457363E-2</v>
      </c>
      <c r="F9" s="16" t="str">
        <f>IF(D9=0,"On plan",IF(D9&gt;0,"Favourable","Unfavourable"))</f>
        <v>Unfavourable</v>
      </c>
    </row>
    <row r="10" spans="1:6" ht="21.75" customHeight="1" x14ac:dyDescent="0.55000000000000004">
      <c r="A10" s="13" t="s">
        <v>120</v>
      </c>
      <c r="B10" s="33">
        <f>SUMPRODUCT(('PL-04 Financial Plan'!$C$8:$C$19="Non-Core Revenue")*'PL-04 Financial Plan'!$E$8:$M$19)</f>
        <v>900000</v>
      </c>
      <c r="C10" s="31">
        <v>900000</v>
      </c>
      <c r="D10" s="33">
        <f t="shared" si="0"/>
        <v>0</v>
      </c>
      <c r="E10" s="35">
        <f t="shared" si="1"/>
        <v>0</v>
      </c>
      <c r="F10" s="16" t="str">
        <f>IF(D10=0,"On plan",IF(D10&gt;0,"Favourable","Unfavourable"))</f>
        <v>On plan</v>
      </c>
    </row>
    <row r="11" spans="1:6" ht="21.75" customHeight="1" x14ac:dyDescent="0.55000000000000004">
      <c r="A11" s="13" t="s">
        <v>317</v>
      </c>
      <c r="B11" s="34">
        <f>B9+B10</f>
        <v>39600000</v>
      </c>
      <c r="C11" s="34">
        <f>C9+C10</f>
        <v>36300000</v>
      </c>
      <c r="D11" s="34">
        <f t="shared" si="0"/>
        <v>-3300000</v>
      </c>
      <c r="E11" s="39">
        <f t="shared" si="1"/>
        <v>-8.3333333333333329E-2</v>
      </c>
      <c r="F11" s="40" t="str">
        <f>IF(D11=0,"On plan",IF(D11&gt;0,"Favourable","Unfavourable"))</f>
        <v>Unfavourable</v>
      </c>
    </row>
    <row r="12" spans="1:6" ht="21.75" customHeight="1" x14ac:dyDescent="0.55000000000000004">
      <c r="A12" s="13" t="s">
        <v>221</v>
      </c>
      <c r="B12" s="33">
        <f>SUMPRODUCT(('PL-04 Financial Plan'!$C$8:$C$19="Direct Cost")*'PL-04 Financial Plan'!$E$8:$M$19)</f>
        <v>6529500</v>
      </c>
      <c r="C12" s="31">
        <v>6900000</v>
      </c>
      <c r="D12" s="33">
        <f t="shared" si="0"/>
        <v>370500</v>
      </c>
      <c r="E12" s="35">
        <f t="shared" si="1"/>
        <v>5.6742476453020906E-2</v>
      </c>
      <c r="F12" s="16" t="str">
        <f>IF(D12=0,"On plan",IF(D12&lt;0,"Favourable","Unfavourable"))</f>
        <v>Unfavourable</v>
      </c>
    </row>
    <row r="13" spans="1:6" ht="21.75" customHeight="1" x14ac:dyDescent="0.55000000000000004">
      <c r="A13" s="13" t="s">
        <v>318</v>
      </c>
      <c r="B13" s="34">
        <f>B11-B12</f>
        <v>33070500</v>
      </c>
      <c r="C13" s="34">
        <f>C11-C12</f>
        <v>29400000</v>
      </c>
      <c r="D13" s="34">
        <f t="shared" si="0"/>
        <v>-3670500</v>
      </c>
      <c r="E13" s="39">
        <f t="shared" si="1"/>
        <v>-0.11099015739102826</v>
      </c>
      <c r="F13" s="40" t="str">
        <f>IF(D13=0,"On plan",IF(D13&gt;0,"Favourable","Unfavourable"))</f>
        <v>Unfavourable</v>
      </c>
    </row>
    <row r="14" spans="1:6" ht="21.75" customHeight="1" x14ac:dyDescent="0.55000000000000004">
      <c r="A14" s="13" t="s">
        <v>223</v>
      </c>
      <c r="B14" s="33">
        <f>SUMPRODUCT(('PL-04 Financial Plan'!$C$8:$C$19="Indirect Cost")*'PL-04 Financial Plan'!$E$8:$M$19)</f>
        <v>4995000</v>
      </c>
      <c r="C14" s="31">
        <v>4850000</v>
      </c>
      <c r="D14" s="33">
        <f t="shared" si="0"/>
        <v>-145000</v>
      </c>
      <c r="E14" s="35">
        <f t="shared" si="1"/>
        <v>-2.9029029029029031E-2</v>
      </c>
      <c r="F14" s="16" t="str">
        <f>IF(D14=0,"On plan",IF(D14&lt;0,"Favourable","Unfavourable"))</f>
        <v>Favourable</v>
      </c>
    </row>
    <row r="15" spans="1:6" ht="21.75" customHeight="1" x14ac:dyDescent="0.55000000000000004">
      <c r="A15" s="13" t="s">
        <v>319</v>
      </c>
      <c r="B15" s="34">
        <f>B13-B14</f>
        <v>28075500</v>
      </c>
      <c r="C15" s="34">
        <f>C13-C14</f>
        <v>24550000</v>
      </c>
      <c r="D15" s="34">
        <f t="shared" si="0"/>
        <v>-3525500</v>
      </c>
      <c r="E15" s="39">
        <f t="shared" si="1"/>
        <v>-0.12557211803885951</v>
      </c>
      <c r="F15" s="40" t="str">
        <f>IF(D15=0,"On plan",IF(D15&gt;0,"Favourable","Unfavourable"))</f>
        <v>Unfavourable</v>
      </c>
    </row>
    <row r="17" spans="1:6" ht="18" customHeight="1" x14ac:dyDescent="0.55000000000000004">
      <c r="A17" s="13" t="s">
        <v>320</v>
      </c>
      <c r="B17" s="33">
        <f>SUMPRODUCT(('PL-04 Financial Plan'!$C$8:$C$19="CAPEX")*'PL-04 Financial Plan'!$E$8:$M$19)</f>
        <v>6000000</v>
      </c>
      <c r="C17" s="27">
        <v>6250000</v>
      </c>
      <c r="D17" s="33">
        <f>C17-B17</f>
        <v>250000</v>
      </c>
      <c r="E17" s="35">
        <f>IF(B17=0,"n/a",D17/B17)</f>
        <v>4.1666666666666664E-2</v>
      </c>
      <c r="F17" s="16" t="str">
        <f>IF(D17=0,"On plan",IF(D17&lt;0,"Favourable","Unfavourable"))</f>
        <v>Unfavourable</v>
      </c>
    </row>
    <row r="19" spans="1:6" ht="18" customHeight="1" x14ac:dyDescent="0.55000000000000004">
      <c r="A19" s="9" t="s">
        <v>133</v>
      </c>
      <c r="B19" s="9"/>
      <c r="C19" s="9"/>
      <c r="D19" s="9"/>
      <c r="E19" s="9"/>
      <c r="F19" s="9"/>
    </row>
    <row r="20" spans="1:6" ht="30.75" customHeight="1" x14ac:dyDescent="0.55000000000000004">
      <c r="A20" s="7" t="s">
        <v>321</v>
      </c>
      <c r="B20" s="7"/>
      <c r="C20" s="7"/>
      <c r="D20" s="7"/>
      <c r="E20" s="7"/>
      <c r="F20" s="7"/>
    </row>
    <row r="21" spans="1:6" ht="30.75" customHeight="1" x14ac:dyDescent="0.55000000000000004">
      <c r="A21" s="7" t="s">
        <v>322</v>
      </c>
      <c r="B21" s="7"/>
      <c r="C21" s="7"/>
      <c r="D21" s="7"/>
      <c r="E21" s="7"/>
      <c r="F21" s="7"/>
    </row>
    <row r="22" spans="1:6" ht="30" customHeight="1" x14ac:dyDescent="0.55000000000000004">
      <c r="A22" s="7" t="s">
        <v>323</v>
      </c>
      <c r="B22" s="7"/>
      <c r="C22" s="7"/>
      <c r="D22" s="7"/>
      <c r="E22" s="7"/>
      <c r="F22" s="7"/>
    </row>
  </sheetData>
  <mergeCells count="10">
    <mergeCell ref="D6:F6"/>
    <mergeCell ref="A19:F19"/>
    <mergeCell ref="A20:F20"/>
    <mergeCell ref="A21:F21"/>
    <mergeCell ref="A22:F22"/>
    <mergeCell ref="A1:B3"/>
    <mergeCell ref="C1:F1"/>
    <mergeCell ref="C2:F2"/>
    <mergeCell ref="C3:F3"/>
    <mergeCell ref="D5:F5"/>
  </mergeCells>
  <pageMargins left="0.5" right="0.5" top="1" bottom="1" header="0.511811023622047" footer="0.5"/>
  <pageSetup paperSize="9" fitToHeight="0" orientation="portrait" horizontalDpi="300" verticalDpi="300"/>
  <headerFooter>
    <oddFooter>&amp;LPL-08 | Crest Point Consulting Group&amp;CPage &amp;P of &amp;N&amp;RStrictly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F3864"/>
    <pageSetUpPr fitToPage="1"/>
  </sheetPr>
  <dimension ref="A1:F36"/>
  <sheetViews>
    <sheetView showGridLines="0" zoomScaleNormal="100" workbookViewId="0"/>
  </sheetViews>
  <sheetFormatPr defaultColWidth="8.68359375" defaultRowHeight="14.4" x14ac:dyDescent="0.55000000000000004"/>
  <cols>
    <col min="1" max="1" width="7" customWidth="1"/>
    <col min="2" max="2" width="16" customWidth="1"/>
    <col min="3" max="3" width="32" customWidth="1"/>
    <col min="4" max="4" width="36" customWidth="1"/>
    <col min="5" max="6" width="17" customWidth="1"/>
  </cols>
  <sheetData>
    <row r="1" spans="1:6" ht="43.5" customHeight="1" x14ac:dyDescent="0.55000000000000004">
      <c r="A1" s="6" t="s">
        <v>80</v>
      </c>
      <c r="B1" s="6"/>
      <c r="C1" s="5" t="s">
        <v>0</v>
      </c>
      <c r="D1" s="5"/>
      <c r="E1" s="5"/>
      <c r="F1" s="5"/>
    </row>
    <row r="2" spans="1:6" ht="21.75" customHeight="1" x14ac:dyDescent="0.55000000000000004">
      <c r="A2" s="6"/>
      <c r="B2" s="6"/>
      <c r="C2" s="4" t="s">
        <v>324</v>
      </c>
      <c r="D2" s="4"/>
      <c r="E2" s="4"/>
      <c r="F2" s="4"/>
    </row>
    <row r="3" spans="1:6" ht="30.75" customHeight="1" x14ac:dyDescent="0.55000000000000004">
      <c r="A3" s="6"/>
      <c r="B3" s="6"/>
      <c r="C3" s="3" t="s">
        <v>325</v>
      </c>
      <c r="D3" s="3"/>
      <c r="E3" s="3"/>
      <c r="F3" s="3"/>
    </row>
    <row r="5" spans="1:6" ht="18" customHeight="1" x14ac:dyDescent="0.55000000000000004">
      <c r="A5" s="2" t="s">
        <v>326</v>
      </c>
      <c r="B5" s="2"/>
      <c r="C5" s="2"/>
      <c r="D5" s="2"/>
      <c r="E5" s="2"/>
      <c r="F5" s="2"/>
    </row>
    <row r="6" spans="1:6" ht="19.5" customHeight="1" x14ac:dyDescent="0.55000000000000004">
      <c r="A6" s="9" t="s">
        <v>327</v>
      </c>
      <c r="B6" s="9"/>
      <c r="C6" s="23" t="s">
        <v>328</v>
      </c>
      <c r="D6" s="13" t="s">
        <v>150</v>
      </c>
      <c r="E6" s="1">
        <v>46307</v>
      </c>
      <c r="F6" s="1"/>
    </row>
    <row r="7" spans="1:6" ht="19.5" customHeight="1" x14ac:dyDescent="0.55000000000000004">
      <c r="A7" s="9" t="s">
        <v>329</v>
      </c>
      <c r="B7" s="9"/>
      <c r="C7" s="24" t="s">
        <v>142</v>
      </c>
      <c r="D7" s="13" t="s">
        <v>105</v>
      </c>
      <c r="E7" s="42" t="s">
        <v>90</v>
      </c>
      <c r="F7" s="42"/>
    </row>
    <row r="8" spans="1:6" ht="19.5" customHeight="1" x14ac:dyDescent="0.55000000000000004">
      <c r="A8" s="9" t="s">
        <v>330</v>
      </c>
      <c r="B8" s="9"/>
      <c r="C8" s="24" t="s">
        <v>196</v>
      </c>
      <c r="D8" s="13" t="s">
        <v>331</v>
      </c>
      <c r="E8" s="42" t="s">
        <v>332</v>
      </c>
      <c r="F8" s="42"/>
    </row>
    <row r="9" spans="1:6" ht="36" customHeight="1" x14ac:dyDescent="0.55000000000000004">
      <c r="A9" s="9" t="s">
        <v>333</v>
      </c>
      <c r="B9" s="9"/>
      <c r="C9" s="42" t="s">
        <v>334</v>
      </c>
      <c r="D9" s="42"/>
      <c r="E9" s="42"/>
      <c r="F9" s="42"/>
    </row>
    <row r="11" spans="1:6" ht="18" customHeight="1" x14ac:dyDescent="0.55000000000000004">
      <c r="A11" s="2" t="s">
        <v>335</v>
      </c>
      <c r="B11" s="2"/>
      <c r="C11" s="2"/>
      <c r="D11" s="2"/>
      <c r="E11" s="2"/>
      <c r="F11" s="2"/>
    </row>
    <row r="12" spans="1:6" ht="30" customHeight="1" x14ac:dyDescent="0.55000000000000004">
      <c r="A12" s="19" t="s">
        <v>104</v>
      </c>
      <c r="B12" s="19" t="s">
        <v>336</v>
      </c>
      <c r="C12" s="19" t="s">
        <v>330</v>
      </c>
      <c r="D12" s="19" t="s">
        <v>337</v>
      </c>
      <c r="E12" s="19" t="s">
        <v>338</v>
      </c>
      <c r="F12" s="19" t="s">
        <v>339</v>
      </c>
    </row>
    <row r="13" spans="1:6" ht="18" customHeight="1" x14ac:dyDescent="0.55000000000000004">
      <c r="A13" s="20">
        <v>1</v>
      </c>
      <c r="B13" s="24" t="s">
        <v>190</v>
      </c>
      <c r="C13" s="24" t="s">
        <v>340</v>
      </c>
      <c r="D13" s="27">
        <v>5500</v>
      </c>
      <c r="E13" s="27">
        <v>4800</v>
      </c>
      <c r="F13" s="33">
        <f t="shared" ref="F13:F18" si="0">IF(B13="","",E13-D13)</f>
        <v>-700</v>
      </c>
    </row>
    <row r="14" spans="1:6" ht="18" customHeight="1" x14ac:dyDescent="0.55000000000000004">
      <c r="A14" s="20">
        <v>2</v>
      </c>
      <c r="B14" s="24" t="s">
        <v>191</v>
      </c>
      <c r="C14" s="24" t="s">
        <v>340</v>
      </c>
      <c r="D14" s="27">
        <v>5000</v>
      </c>
      <c r="E14" s="27">
        <v>4200</v>
      </c>
      <c r="F14" s="33">
        <f t="shared" si="0"/>
        <v>-800</v>
      </c>
    </row>
    <row r="15" spans="1:6" ht="18" customHeight="1" x14ac:dyDescent="0.55000000000000004">
      <c r="A15" s="20">
        <v>3</v>
      </c>
      <c r="B15" s="24" t="s">
        <v>192</v>
      </c>
      <c r="C15" s="24" t="s">
        <v>340</v>
      </c>
      <c r="D15" s="27">
        <v>4500</v>
      </c>
      <c r="E15" s="27">
        <v>4000</v>
      </c>
      <c r="F15" s="33">
        <f t="shared" si="0"/>
        <v>-500</v>
      </c>
    </row>
    <row r="16" spans="1:6" x14ac:dyDescent="0.55000000000000004">
      <c r="A16" s="20">
        <v>4</v>
      </c>
      <c r="B16" s="15"/>
      <c r="C16" s="15"/>
      <c r="D16" s="29"/>
      <c r="E16" s="29"/>
      <c r="F16" s="33" t="str">
        <f t="shared" si="0"/>
        <v/>
      </c>
    </row>
    <row r="17" spans="1:6" x14ac:dyDescent="0.55000000000000004">
      <c r="A17" s="20">
        <v>5</v>
      </c>
      <c r="B17" s="15"/>
      <c r="C17" s="15"/>
      <c r="D17" s="29"/>
      <c r="E17" s="29"/>
      <c r="F17" s="33" t="str">
        <f t="shared" si="0"/>
        <v/>
      </c>
    </row>
    <row r="18" spans="1:6" x14ac:dyDescent="0.55000000000000004">
      <c r="A18" s="20">
        <v>6</v>
      </c>
      <c r="B18" s="15"/>
      <c r="C18" s="15"/>
      <c r="D18" s="29"/>
      <c r="E18" s="29"/>
      <c r="F18" s="33" t="str">
        <f t="shared" si="0"/>
        <v/>
      </c>
    </row>
    <row r="19" spans="1:6" ht="18" customHeight="1" x14ac:dyDescent="0.55000000000000004">
      <c r="A19" s="48" t="s">
        <v>341</v>
      </c>
      <c r="B19" s="48"/>
      <c r="C19" s="48"/>
      <c r="D19" s="41">
        <f>SUM(D13:D18)</f>
        <v>15000</v>
      </c>
      <c r="E19" s="41">
        <f>SUM(E13:E18)</f>
        <v>13000</v>
      </c>
      <c r="F19" s="41">
        <f>SUM(F13:F18)</f>
        <v>-2000</v>
      </c>
    </row>
    <row r="21" spans="1:6" ht="18" customHeight="1" x14ac:dyDescent="0.55000000000000004">
      <c r="A21" s="2" t="s">
        <v>160</v>
      </c>
      <c r="B21" s="2"/>
      <c r="C21" s="2"/>
      <c r="D21" s="2"/>
      <c r="E21" s="2"/>
      <c r="F21" s="2"/>
    </row>
    <row r="22" spans="1:6" ht="43.5" customHeight="1" x14ac:dyDescent="0.55000000000000004">
      <c r="A22" s="9" t="s">
        <v>342</v>
      </c>
      <c r="B22" s="9"/>
      <c r="C22" s="24" t="s">
        <v>343</v>
      </c>
      <c r="D22" s="13" t="s">
        <v>163</v>
      </c>
      <c r="E22" s="46">
        <v>46305</v>
      </c>
      <c r="F22" s="46"/>
    </row>
    <row r="23" spans="1:6" ht="31.5" customHeight="1" x14ac:dyDescent="0.55000000000000004">
      <c r="A23" s="9" t="s">
        <v>344</v>
      </c>
      <c r="B23" s="9"/>
      <c r="C23" s="42" t="s">
        <v>345</v>
      </c>
      <c r="D23" s="42"/>
      <c r="E23" s="42"/>
      <c r="F23" s="42"/>
    </row>
    <row r="24" spans="1:6" ht="30.75" customHeight="1" x14ac:dyDescent="0.55000000000000004">
      <c r="A24" s="9" t="s">
        <v>164</v>
      </c>
      <c r="B24" s="9"/>
      <c r="C24" s="24" t="s">
        <v>165</v>
      </c>
      <c r="D24" s="13" t="s">
        <v>166</v>
      </c>
      <c r="E24" s="1">
        <v>46308</v>
      </c>
      <c r="F24" s="1"/>
    </row>
    <row r="25" spans="1:6" ht="37.5" customHeight="1" x14ac:dyDescent="0.55000000000000004">
      <c r="A25" s="9" t="s">
        <v>346</v>
      </c>
      <c r="B25" s="9"/>
      <c r="C25" s="43" t="str">
        <f>IF(C22="","BLOCKED - the ED physical approval reference is mandatory",IF(C23="","BLOCKED - supporting justification is mandatory",IF(C24="Approved","Revised figures activated in the comparative analysis; ORIGINAL figures retained for history and audit; Control Log updated","Not approved - original plan stays in force")))</f>
        <v>Revised figures activated in the comparative analysis; ORIGINAL figures retained for history and audit; Control Log updated</v>
      </c>
      <c r="D25" s="43"/>
      <c r="E25" s="43"/>
      <c r="F25" s="43"/>
    </row>
    <row r="27" spans="1:6" ht="30.75" customHeight="1" x14ac:dyDescent="0.55000000000000004">
      <c r="A27" s="44" t="s">
        <v>347</v>
      </c>
      <c r="B27" s="44"/>
      <c r="C27" s="44"/>
      <c r="D27" s="44" t="s">
        <v>168</v>
      </c>
      <c r="E27" s="44"/>
      <c r="F27" s="44"/>
    </row>
    <row r="28" spans="1:6" ht="19.5" customHeight="1" x14ac:dyDescent="0.55000000000000004">
      <c r="A28" s="8" t="s">
        <v>129</v>
      </c>
      <c r="B28" s="8"/>
      <c r="C28" s="8"/>
      <c r="D28" s="8" t="s">
        <v>129</v>
      </c>
      <c r="E28" s="8"/>
      <c r="F28" s="8"/>
    </row>
    <row r="29" spans="1:6" ht="19.5" customHeight="1" x14ac:dyDescent="0.55000000000000004">
      <c r="A29" s="8" t="s">
        <v>130</v>
      </c>
      <c r="B29" s="8"/>
      <c r="C29" s="8"/>
      <c r="D29" s="8" t="s">
        <v>130</v>
      </c>
      <c r="E29" s="8"/>
      <c r="F29" s="8"/>
    </row>
    <row r="30" spans="1:6" ht="43.5" customHeight="1" x14ac:dyDescent="0.55000000000000004">
      <c r="A30" s="45" t="s">
        <v>131</v>
      </c>
      <c r="B30" s="45"/>
      <c r="C30" s="45"/>
      <c r="D30" s="45" t="s">
        <v>131</v>
      </c>
      <c r="E30" s="45"/>
      <c r="F30" s="45"/>
    </row>
    <row r="31" spans="1:6" ht="19.5" customHeight="1" x14ac:dyDescent="0.55000000000000004">
      <c r="A31" s="8" t="s">
        <v>132</v>
      </c>
      <c r="B31" s="8"/>
      <c r="C31" s="8"/>
      <c r="D31" s="8" t="s">
        <v>132</v>
      </c>
      <c r="E31" s="8"/>
      <c r="F31" s="8"/>
    </row>
    <row r="33" spans="1:6" ht="18" customHeight="1" x14ac:dyDescent="0.55000000000000004">
      <c r="A33" s="9" t="s">
        <v>133</v>
      </c>
      <c r="B33" s="9"/>
      <c r="C33" s="9"/>
      <c r="D33" s="9"/>
      <c r="E33" s="9"/>
      <c r="F33" s="9"/>
    </row>
    <row r="34" spans="1:6" ht="33.75" customHeight="1" x14ac:dyDescent="0.55000000000000004">
      <c r="A34" s="7" t="s">
        <v>348</v>
      </c>
      <c r="B34" s="7"/>
      <c r="C34" s="7"/>
      <c r="D34" s="7"/>
      <c r="E34" s="7"/>
      <c r="F34" s="7"/>
    </row>
    <row r="35" spans="1:6" ht="33.75" customHeight="1" x14ac:dyDescent="0.55000000000000004">
      <c r="A35" s="7" t="s">
        <v>349</v>
      </c>
      <c r="B35" s="7"/>
      <c r="C35" s="7"/>
      <c r="D35" s="7"/>
      <c r="E35" s="7"/>
      <c r="F35" s="7"/>
    </row>
    <row r="36" spans="1:6" ht="43.5" customHeight="1" x14ac:dyDescent="0.55000000000000004">
      <c r="A36" s="7" t="s">
        <v>350</v>
      </c>
      <c r="B36" s="7"/>
      <c r="C36" s="7"/>
      <c r="D36" s="7"/>
      <c r="E36" s="7"/>
      <c r="F36" s="7"/>
    </row>
  </sheetData>
  <mergeCells count="38">
    <mergeCell ref="A33:F33"/>
    <mergeCell ref="A34:F34"/>
    <mergeCell ref="A35:F35"/>
    <mergeCell ref="A36:F36"/>
    <mergeCell ref="A29:C29"/>
    <mergeCell ref="D29:F29"/>
    <mergeCell ref="A30:C30"/>
    <mergeCell ref="D30:F30"/>
    <mergeCell ref="A31:C31"/>
    <mergeCell ref="D31:F31"/>
    <mergeCell ref="A25:B25"/>
    <mergeCell ref="C25:F25"/>
    <mergeCell ref="A27:C27"/>
    <mergeCell ref="D27:F27"/>
    <mergeCell ref="A28:C28"/>
    <mergeCell ref="D28:F28"/>
    <mergeCell ref="A22:B22"/>
    <mergeCell ref="E22:F22"/>
    <mergeCell ref="A23:B23"/>
    <mergeCell ref="C23:F23"/>
    <mergeCell ref="A24:B24"/>
    <mergeCell ref="E24:F24"/>
    <mergeCell ref="A9:B9"/>
    <mergeCell ref="C9:F9"/>
    <mergeCell ref="A11:F11"/>
    <mergeCell ref="A19:C19"/>
    <mergeCell ref="A21:F21"/>
    <mergeCell ref="A6:B6"/>
    <mergeCell ref="E6:F6"/>
    <mergeCell ref="A7:B7"/>
    <mergeCell ref="E7:F7"/>
    <mergeCell ref="A8:B8"/>
    <mergeCell ref="E8:F8"/>
    <mergeCell ref="A1:B3"/>
    <mergeCell ref="C1:F1"/>
    <mergeCell ref="C2:F2"/>
    <mergeCell ref="C3:F3"/>
    <mergeCell ref="A5:F5"/>
  </mergeCells>
  <dataValidations count="3">
    <dataValidation type="list" allowBlank="1" sqref="E7" xr:uid="{00000000-0002-0000-0900-000000000000}">
      <formula1>"HQ,Second Unit A,Second Unit B,Second Unit C"</formula1>
      <formula2>0</formula2>
    </dataValidation>
    <dataValidation type="list" allowBlank="1" sqref="E8" xr:uid="{00000000-0002-0000-0900-000001000000}">
      <formula1>"Physical (volumes),Financial (AFN)"</formula1>
      <formula2>0</formula2>
    </dataValidation>
    <dataValidation type="list" allowBlank="1" sqref="C24" xr:uid="{00000000-0002-0000-0900-000002000000}">
      <formula1>"Approved,Rejected"</formula1>
      <formula2>0</formula2>
    </dataValidation>
  </dataValidations>
  <pageMargins left="0.5" right="0.5" top="1" bottom="1" header="0.511811023622047" footer="0.5"/>
  <pageSetup paperSize="9" fitToHeight="0" orientation="portrait" horizontalDpi="300" verticalDpi="300"/>
  <headerFooter>
    <oddFooter>&amp;LPL-09 | Crest Point Consulting Group&amp;CPage &amp;P of &amp;N&amp;RStrictly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7F7F7F"/>
    <pageSetUpPr fitToPage="1"/>
  </sheetPr>
  <dimension ref="A1:I18"/>
  <sheetViews>
    <sheetView showGridLines="0" zoomScaleNormal="100" workbookViewId="0">
      <pane ySplit="6" topLeftCell="A7" activePane="bottomLeft" state="frozen"/>
      <selection pane="bottomLeft"/>
    </sheetView>
  </sheetViews>
  <sheetFormatPr defaultColWidth="8.68359375" defaultRowHeight="14.4" x14ac:dyDescent="0.55000000000000004"/>
  <cols>
    <col min="1" max="2" width="14" customWidth="1"/>
    <col min="3" max="3" width="13" customWidth="1"/>
    <col min="4" max="4" width="30" customWidth="1"/>
    <col min="5" max="5" width="40" customWidth="1"/>
    <col min="6" max="6" width="20" customWidth="1"/>
    <col min="7" max="7" width="22" customWidth="1"/>
    <col min="8" max="8" width="12" customWidth="1"/>
    <col min="9" max="9" width="16" customWidth="1"/>
  </cols>
  <sheetData>
    <row r="1" spans="1:9" ht="30.75" customHeight="1" x14ac:dyDescent="0.55000000000000004">
      <c r="A1" s="6" t="s">
        <v>80</v>
      </c>
      <c r="B1" s="6"/>
      <c r="C1" s="5" t="s">
        <v>0</v>
      </c>
      <c r="D1" s="5"/>
      <c r="E1" s="5"/>
      <c r="F1" s="5"/>
      <c r="G1" s="5"/>
      <c r="H1" s="5"/>
      <c r="I1" s="5"/>
    </row>
    <row r="2" spans="1:9" ht="21.75" customHeight="1" x14ac:dyDescent="0.55000000000000004">
      <c r="A2" s="6"/>
      <c r="B2" s="6"/>
      <c r="C2" s="4" t="s">
        <v>351</v>
      </c>
      <c r="D2" s="4"/>
      <c r="E2" s="4"/>
      <c r="F2" s="4"/>
      <c r="G2" s="4"/>
      <c r="H2" s="4"/>
      <c r="I2" s="4"/>
    </row>
    <row r="3" spans="1:9" ht="21.75" customHeight="1" x14ac:dyDescent="0.55000000000000004">
      <c r="A3" s="6"/>
      <c r="B3" s="6"/>
      <c r="C3" s="3" t="s">
        <v>352</v>
      </c>
      <c r="D3" s="3"/>
      <c r="E3" s="3"/>
      <c r="F3" s="3"/>
      <c r="G3" s="3"/>
      <c r="H3" s="3"/>
      <c r="I3" s="3"/>
    </row>
    <row r="5" spans="1:9" ht="30.75" customHeight="1" x14ac:dyDescent="0.55000000000000004">
      <c r="A5" s="49" t="s">
        <v>353</v>
      </c>
      <c r="B5" s="49"/>
      <c r="C5" s="49"/>
      <c r="D5" s="49"/>
      <c r="E5" s="49"/>
      <c r="F5" s="49"/>
      <c r="G5" s="49"/>
      <c r="H5" s="49"/>
      <c r="I5" s="49"/>
    </row>
    <row r="6" spans="1:9" ht="33.75" customHeight="1" x14ac:dyDescent="0.55000000000000004">
      <c r="A6" s="19" t="s">
        <v>354</v>
      </c>
      <c r="B6" s="19" t="s">
        <v>355</v>
      </c>
      <c r="C6" s="19" t="s">
        <v>258</v>
      </c>
      <c r="D6" s="19" t="s">
        <v>356</v>
      </c>
      <c r="E6" s="19" t="s">
        <v>357</v>
      </c>
      <c r="F6" s="19" t="s">
        <v>358</v>
      </c>
      <c r="G6" s="19" t="s">
        <v>359</v>
      </c>
      <c r="H6" s="19" t="s">
        <v>360</v>
      </c>
      <c r="I6" s="19" t="s">
        <v>361</v>
      </c>
    </row>
    <row r="7" spans="1:9" ht="30.75" customHeight="1" x14ac:dyDescent="0.55000000000000004">
      <c r="A7" s="24" t="s">
        <v>362</v>
      </c>
      <c r="B7" s="26">
        <v>46300</v>
      </c>
      <c r="C7" s="24" t="s">
        <v>363</v>
      </c>
      <c r="D7" s="24" t="s">
        <v>364</v>
      </c>
      <c r="E7" s="24" t="s">
        <v>365</v>
      </c>
      <c r="F7" s="24" t="s">
        <v>366</v>
      </c>
      <c r="G7" s="24" t="s">
        <v>367</v>
      </c>
      <c r="H7" s="24" t="s">
        <v>368</v>
      </c>
      <c r="I7" s="24" t="s">
        <v>101</v>
      </c>
    </row>
    <row r="8" spans="1:9" ht="30.75" customHeight="1" x14ac:dyDescent="0.55000000000000004">
      <c r="A8" s="24" t="s">
        <v>369</v>
      </c>
      <c r="B8" s="26">
        <v>46303</v>
      </c>
      <c r="C8" s="24" t="s">
        <v>370</v>
      </c>
      <c r="D8" s="24" t="s">
        <v>371</v>
      </c>
      <c r="E8" s="24" t="s">
        <v>372</v>
      </c>
      <c r="F8" s="24" t="s">
        <v>366</v>
      </c>
      <c r="G8" s="24" t="s">
        <v>367</v>
      </c>
      <c r="H8" s="24" t="s">
        <v>373</v>
      </c>
      <c r="I8" s="24" t="s">
        <v>101</v>
      </c>
    </row>
    <row r="9" spans="1:9" ht="30.75" customHeight="1" x14ac:dyDescent="0.55000000000000004">
      <c r="A9" s="24" t="s">
        <v>374</v>
      </c>
      <c r="B9" s="26">
        <v>46304</v>
      </c>
      <c r="C9" s="24" t="s">
        <v>363</v>
      </c>
      <c r="D9" s="24" t="s">
        <v>375</v>
      </c>
      <c r="E9" s="24" t="s">
        <v>376</v>
      </c>
      <c r="F9" s="24" t="s">
        <v>366</v>
      </c>
      <c r="G9" s="24" t="s">
        <v>377</v>
      </c>
      <c r="H9" s="24" t="s">
        <v>368</v>
      </c>
      <c r="I9" s="24" t="s">
        <v>378</v>
      </c>
    </row>
    <row r="10" spans="1:9" ht="25.5" customHeight="1" x14ac:dyDescent="0.55000000000000004">
      <c r="A10" s="15"/>
      <c r="B10" s="15"/>
      <c r="C10" s="15"/>
      <c r="D10" s="15"/>
      <c r="E10" s="15"/>
      <c r="F10" s="15"/>
      <c r="G10" s="15"/>
      <c r="H10" s="15"/>
      <c r="I10" s="15"/>
    </row>
    <row r="11" spans="1:9" ht="25.5" customHeight="1" x14ac:dyDescent="0.55000000000000004">
      <c r="A11" s="15"/>
      <c r="B11" s="15"/>
      <c r="C11" s="15"/>
      <c r="D11" s="15"/>
      <c r="E11" s="15"/>
      <c r="F11" s="15"/>
      <c r="G11" s="15"/>
      <c r="H11" s="15"/>
      <c r="I11" s="15"/>
    </row>
    <row r="12" spans="1:9" ht="25.5" customHeight="1" x14ac:dyDescent="0.55000000000000004">
      <c r="A12" s="15"/>
      <c r="B12" s="15"/>
      <c r="C12" s="15"/>
      <c r="D12" s="15"/>
      <c r="E12" s="15"/>
      <c r="F12" s="15"/>
      <c r="G12" s="15"/>
      <c r="H12" s="15"/>
      <c r="I12" s="15"/>
    </row>
    <row r="13" spans="1:9" ht="25.5" customHeight="1" x14ac:dyDescent="0.55000000000000004">
      <c r="A13" s="15"/>
      <c r="B13" s="15"/>
      <c r="C13" s="15"/>
      <c r="D13" s="15"/>
      <c r="E13" s="15"/>
      <c r="F13" s="15"/>
      <c r="G13" s="15"/>
      <c r="H13" s="15"/>
      <c r="I13" s="15"/>
    </row>
    <row r="14" spans="1:9" ht="25.5" customHeight="1" x14ac:dyDescent="0.55000000000000004">
      <c r="A14" s="15"/>
      <c r="B14" s="15"/>
      <c r="C14" s="15"/>
      <c r="D14" s="15"/>
      <c r="E14" s="15"/>
      <c r="F14" s="15"/>
      <c r="G14" s="15"/>
      <c r="H14" s="15"/>
      <c r="I14" s="15"/>
    </row>
    <row r="15" spans="1:9" ht="25.5" customHeight="1" x14ac:dyDescent="0.55000000000000004">
      <c r="A15" s="15"/>
      <c r="B15" s="15"/>
      <c r="C15" s="15"/>
      <c r="D15" s="15"/>
      <c r="E15" s="15"/>
      <c r="F15" s="15"/>
      <c r="G15" s="15"/>
      <c r="H15" s="15"/>
      <c r="I15" s="15"/>
    </row>
    <row r="16" spans="1:9" ht="25.5" customHeight="1" x14ac:dyDescent="0.55000000000000004">
      <c r="A16" s="15"/>
      <c r="B16" s="15"/>
      <c r="C16" s="15"/>
      <c r="D16" s="15"/>
      <c r="E16" s="15"/>
      <c r="F16" s="15"/>
      <c r="G16" s="15"/>
      <c r="H16" s="15"/>
      <c r="I16" s="15"/>
    </row>
    <row r="17" spans="1:9" ht="25.5" customHeight="1" x14ac:dyDescent="0.55000000000000004">
      <c r="A17" s="15"/>
      <c r="B17" s="15"/>
      <c r="C17" s="15"/>
      <c r="D17" s="15"/>
      <c r="E17" s="15"/>
      <c r="F17" s="15"/>
      <c r="G17" s="15"/>
      <c r="H17" s="15"/>
      <c r="I17" s="15"/>
    </row>
    <row r="18" spans="1:9" ht="25.5" customHeight="1" x14ac:dyDescent="0.55000000000000004">
      <c r="A18" s="15"/>
      <c r="B18" s="15"/>
      <c r="C18" s="15"/>
      <c r="D18" s="15"/>
      <c r="E18" s="15"/>
      <c r="F18" s="15"/>
      <c r="G18" s="15"/>
      <c r="H18" s="15"/>
      <c r="I18" s="15"/>
    </row>
  </sheetData>
  <mergeCells count="5">
    <mergeCell ref="A1:B3"/>
    <mergeCell ref="C1:I1"/>
    <mergeCell ref="C2:I2"/>
    <mergeCell ref="C3:I3"/>
    <mergeCell ref="A5:I5"/>
  </mergeCells>
  <dataValidations count="2">
    <dataValidation type="list" allowBlank="1" sqref="C7:C18" xr:uid="{00000000-0002-0000-0A00-000000000000}">
      <formula1>"Incoming,Outgoing"</formula1>
      <formula2>0</formula2>
    </dataValidation>
    <dataValidation type="list" allowBlank="1" sqref="H7:H18" xr:uid="{00000000-0002-0000-0A00-000001000000}">
      <formula1>"Open,Closed"</formula1>
      <formula2>0</formula2>
    </dataValidation>
  </dataValidations>
  <pageMargins left="0.5" right="0.5" top="1" bottom="1" header="0.511811023622047" footer="0.5"/>
  <pageSetup paperSize="9" fitToHeight="0" orientation="landscape" horizontalDpi="300" verticalDpi="300"/>
  <headerFooter>
    <oddFooter>&amp;LPL-10 | Crest Point Consulting Group&amp;CPage &amp;P of &amp;N&amp;RStrictly Confidential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1F3864"/>
    <pageSetUpPr fitToPage="1"/>
  </sheetPr>
  <dimension ref="A1:F31"/>
  <sheetViews>
    <sheetView showGridLines="0" zoomScaleNormal="100" workbookViewId="0"/>
  </sheetViews>
  <sheetFormatPr defaultColWidth="8.68359375" defaultRowHeight="14.4" x14ac:dyDescent="0.55000000000000004"/>
  <cols>
    <col min="1" max="1" width="7" customWidth="1"/>
    <col min="2" max="2" width="16" customWidth="1"/>
    <col min="3" max="3" width="32" customWidth="1"/>
    <col min="4" max="4" width="36" customWidth="1"/>
    <col min="5" max="6" width="17" customWidth="1"/>
  </cols>
  <sheetData>
    <row r="1" spans="1:6" ht="43.5" customHeight="1" x14ac:dyDescent="0.55000000000000004">
      <c r="A1" s="6" t="s">
        <v>80</v>
      </c>
      <c r="B1" s="6"/>
      <c r="C1" s="5" t="s">
        <v>0</v>
      </c>
      <c r="D1" s="5"/>
      <c r="E1" s="5"/>
      <c r="F1" s="5"/>
    </row>
    <row r="2" spans="1:6" ht="21.75" customHeight="1" x14ac:dyDescent="0.55000000000000004">
      <c r="A2" s="6"/>
      <c r="B2" s="6"/>
      <c r="C2" s="4" t="s">
        <v>379</v>
      </c>
      <c r="D2" s="4"/>
      <c r="E2" s="4"/>
      <c r="F2" s="4"/>
    </row>
    <row r="3" spans="1:6" ht="21.75" customHeight="1" x14ac:dyDescent="0.55000000000000004">
      <c r="A3" s="6"/>
      <c r="B3" s="6"/>
      <c r="C3" s="3" t="s">
        <v>380</v>
      </c>
      <c r="D3" s="3"/>
      <c r="E3" s="3"/>
      <c r="F3" s="3"/>
    </row>
    <row r="5" spans="1:6" ht="18" customHeight="1" x14ac:dyDescent="0.55000000000000004">
      <c r="A5" s="2" t="s">
        <v>381</v>
      </c>
      <c r="B5" s="2"/>
      <c r="C5" s="2"/>
      <c r="D5" s="2"/>
      <c r="E5" s="2"/>
      <c r="F5" s="2"/>
    </row>
    <row r="6" spans="1:6" ht="19.5" customHeight="1" x14ac:dyDescent="0.55000000000000004">
      <c r="A6" s="9" t="s">
        <v>382</v>
      </c>
      <c r="B6" s="9"/>
      <c r="C6" s="23" t="s">
        <v>383</v>
      </c>
      <c r="D6" s="13" t="s">
        <v>384</v>
      </c>
      <c r="E6" s="50">
        <v>46307.375</v>
      </c>
      <c r="F6" s="50"/>
    </row>
    <row r="7" spans="1:6" ht="19.5" customHeight="1" x14ac:dyDescent="0.55000000000000004">
      <c r="A7" s="9" t="s">
        <v>385</v>
      </c>
      <c r="B7" s="9"/>
      <c r="C7" s="23" t="s">
        <v>386</v>
      </c>
      <c r="D7" s="13" t="s">
        <v>387</v>
      </c>
      <c r="E7" s="43" t="s">
        <v>118</v>
      </c>
      <c r="F7" s="43"/>
    </row>
    <row r="8" spans="1:6" ht="30.75" customHeight="1" x14ac:dyDescent="0.55000000000000004">
      <c r="A8" s="9" t="s">
        <v>388</v>
      </c>
      <c r="B8" s="9"/>
      <c r="C8" s="24" t="s">
        <v>389</v>
      </c>
      <c r="D8" s="13" t="s">
        <v>390</v>
      </c>
      <c r="E8" s="42" t="s">
        <v>391</v>
      </c>
      <c r="F8" s="42"/>
    </row>
    <row r="9" spans="1:6" ht="19.5" customHeight="1" x14ac:dyDescent="0.55000000000000004">
      <c r="A9" s="9" t="s">
        <v>392</v>
      </c>
      <c r="B9" s="9"/>
      <c r="C9" s="23" t="s">
        <v>101</v>
      </c>
      <c r="D9" s="13" t="s">
        <v>393</v>
      </c>
      <c r="E9" s="43" t="s">
        <v>394</v>
      </c>
      <c r="F9" s="43"/>
    </row>
    <row r="10" spans="1:6" ht="36" customHeight="1" x14ac:dyDescent="0.55000000000000004">
      <c r="A10" s="9" t="s">
        <v>395</v>
      </c>
      <c r="B10" s="9"/>
      <c r="C10" s="42" t="s">
        <v>396</v>
      </c>
      <c r="D10" s="42"/>
      <c r="E10" s="42"/>
      <c r="F10" s="42"/>
    </row>
    <row r="11" spans="1:6" ht="30" customHeight="1" x14ac:dyDescent="0.55000000000000004">
      <c r="A11" s="9" t="s">
        <v>397</v>
      </c>
      <c r="B11" s="9"/>
      <c r="C11" s="42" t="s">
        <v>398</v>
      </c>
      <c r="D11" s="42"/>
      <c r="E11" s="42"/>
      <c r="F11" s="42"/>
    </row>
    <row r="13" spans="1:6" ht="18" customHeight="1" x14ac:dyDescent="0.55000000000000004">
      <c r="A13" s="2" t="s">
        <v>399</v>
      </c>
      <c r="B13" s="2"/>
      <c r="C13" s="2"/>
      <c r="D13" s="2"/>
      <c r="E13" s="2"/>
      <c r="F13" s="2"/>
    </row>
    <row r="14" spans="1:6" ht="19.5" customHeight="1" x14ac:dyDescent="0.55000000000000004">
      <c r="A14" s="9" t="s">
        <v>400</v>
      </c>
      <c r="B14" s="9"/>
      <c r="C14" s="24" t="s">
        <v>165</v>
      </c>
      <c r="D14" s="13" t="s">
        <v>401</v>
      </c>
      <c r="E14" s="50">
        <v>46307.402777777803</v>
      </c>
      <c r="F14" s="50"/>
    </row>
    <row r="15" spans="1:6" ht="30.75" customHeight="1" x14ac:dyDescent="0.55000000000000004">
      <c r="A15" s="9" t="s">
        <v>402</v>
      </c>
      <c r="B15" s="9"/>
      <c r="C15" s="42"/>
      <c r="D15" s="42"/>
      <c r="E15" s="42"/>
      <c r="F15" s="42"/>
    </row>
    <row r="16" spans="1:6" ht="30.75" customHeight="1" x14ac:dyDescent="0.55000000000000004">
      <c r="A16" s="9" t="s">
        <v>403</v>
      </c>
      <c r="B16" s="9"/>
      <c r="C16" s="23" t="s">
        <v>404</v>
      </c>
      <c r="D16" s="13" t="s">
        <v>405</v>
      </c>
      <c r="E16" s="43" t="s">
        <v>406</v>
      </c>
      <c r="F16" s="43"/>
    </row>
    <row r="18" spans="1:6" ht="18" customHeight="1" x14ac:dyDescent="0.55000000000000004">
      <c r="A18" s="2" t="s">
        <v>407</v>
      </c>
      <c r="B18" s="2"/>
      <c r="C18" s="2"/>
      <c r="D18" s="2"/>
      <c r="E18" s="2"/>
      <c r="F18" s="2"/>
    </row>
    <row r="19" spans="1:6" ht="18" customHeight="1" x14ac:dyDescent="0.55000000000000004">
      <c r="A19" s="9" t="s">
        <v>408</v>
      </c>
      <c r="B19" s="9"/>
      <c r="C19" s="9"/>
      <c r="D19" s="51" t="s">
        <v>409</v>
      </c>
      <c r="E19" s="51"/>
      <c r="F19" s="51"/>
    </row>
    <row r="20" spans="1:6" ht="18" customHeight="1" x14ac:dyDescent="0.55000000000000004">
      <c r="A20" s="9" t="s">
        <v>410</v>
      </c>
      <c r="B20" s="9"/>
      <c r="C20" s="9"/>
      <c r="D20" s="51" t="s">
        <v>409</v>
      </c>
      <c r="E20" s="51"/>
      <c r="F20" s="51"/>
    </row>
    <row r="21" spans="1:6" ht="18" customHeight="1" x14ac:dyDescent="0.55000000000000004">
      <c r="A21" s="9" t="s">
        <v>411</v>
      </c>
      <c r="B21" s="9"/>
      <c r="C21" s="9"/>
      <c r="D21" s="51" t="s">
        <v>409</v>
      </c>
      <c r="E21" s="51"/>
      <c r="F21" s="51"/>
    </row>
    <row r="22" spans="1:6" ht="18" customHeight="1" x14ac:dyDescent="0.55000000000000004">
      <c r="A22" s="9" t="s">
        <v>412</v>
      </c>
      <c r="B22" s="9"/>
      <c r="C22" s="9"/>
      <c r="D22" s="51" t="s">
        <v>409</v>
      </c>
      <c r="E22" s="51"/>
      <c r="F22" s="51"/>
    </row>
    <row r="24" spans="1:6" ht="30.75" customHeight="1" x14ac:dyDescent="0.55000000000000004">
      <c r="A24" s="44" t="s">
        <v>413</v>
      </c>
      <c r="B24" s="44"/>
      <c r="C24" s="44"/>
      <c r="D24" s="44" t="s">
        <v>414</v>
      </c>
      <c r="E24" s="44"/>
      <c r="F24" s="44"/>
    </row>
    <row r="25" spans="1:6" ht="19.5" customHeight="1" x14ac:dyDescent="0.55000000000000004">
      <c r="A25" s="8" t="s">
        <v>129</v>
      </c>
      <c r="B25" s="8"/>
      <c r="C25" s="8"/>
      <c r="D25" s="8" t="s">
        <v>129</v>
      </c>
      <c r="E25" s="8"/>
      <c r="F25" s="8"/>
    </row>
    <row r="26" spans="1:6" ht="19.5" customHeight="1" x14ac:dyDescent="0.55000000000000004">
      <c r="A26" s="8" t="s">
        <v>130</v>
      </c>
      <c r="B26" s="8"/>
      <c r="C26" s="8"/>
      <c r="D26" s="8" t="s">
        <v>130</v>
      </c>
      <c r="E26" s="8"/>
      <c r="F26" s="8"/>
    </row>
    <row r="27" spans="1:6" ht="43.5" customHeight="1" x14ac:dyDescent="0.55000000000000004">
      <c r="A27" s="45" t="s">
        <v>131</v>
      </c>
      <c r="B27" s="45"/>
      <c r="C27" s="45"/>
      <c r="D27" s="45" t="s">
        <v>131</v>
      </c>
      <c r="E27" s="45"/>
      <c r="F27" s="45"/>
    </row>
    <row r="28" spans="1:6" ht="19.5" customHeight="1" x14ac:dyDescent="0.55000000000000004">
      <c r="A28" s="8" t="s">
        <v>132</v>
      </c>
      <c r="B28" s="8"/>
      <c r="C28" s="8"/>
      <c r="D28" s="8" t="s">
        <v>132</v>
      </c>
      <c r="E28" s="8"/>
      <c r="F28" s="8"/>
    </row>
    <row r="30" spans="1:6" ht="18" customHeight="1" x14ac:dyDescent="0.55000000000000004">
      <c r="A30" s="9" t="s">
        <v>133</v>
      </c>
      <c r="B30" s="9"/>
      <c r="C30" s="9"/>
      <c r="D30" s="9"/>
      <c r="E30" s="9"/>
      <c r="F30" s="9"/>
    </row>
    <row r="31" spans="1:6" ht="30.75" customHeight="1" x14ac:dyDescent="0.55000000000000004">
      <c r="A31" s="7" t="s">
        <v>415</v>
      </c>
      <c r="B31" s="7"/>
      <c r="C31" s="7"/>
      <c r="D31" s="7"/>
      <c r="E31" s="7"/>
      <c r="F31" s="7"/>
    </row>
  </sheetData>
  <mergeCells count="45">
    <mergeCell ref="A31:F31"/>
    <mergeCell ref="A27:C27"/>
    <mergeCell ref="D27:F27"/>
    <mergeCell ref="A28:C28"/>
    <mergeCell ref="D28:F28"/>
    <mergeCell ref="A30:F30"/>
    <mergeCell ref="A24:C24"/>
    <mergeCell ref="D24:F24"/>
    <mergeCell ref="A25:C25"/>
    <mergeCell ref="D25:F25"/>
    <mergeCell ref="A26:C26"/>
    <mergeCell ref="D26:F26"/>
    <mergeCell ref="A20:C20"/>
    <mergeCell ref="D20:F20"/>
    <mergeCell ref="A21:C21"/>
    <mergeCell ref="D21:F21"/>
    <mergeCell ref="A22:C22"/>
    <mergeCell ref="D22:F22"/>
    <mergeCell ref="A16:B16"/>
    <mergeCell ref="E16:F16"/>
    <mergeCell ref="A18:F18"/>
    <mergeCell ref="A19:C19"/>
    <mergeCell ref="D19:F19"/>
    <mergeCell ref="A13:F13"/>
    <mergeCell ref="A14:B14"/>
    <mergeCell ref="E14:F14"/>
    <mergeCell ref="A15:B15"/>
    <mergeCell ref="C15:F15"/>
    <mergeCell ref="A9:B9"/>
    <mergeCell ref="E9:F9"/>
    <mergeCell ref="A10:B10"/>
    <mergeCell ref="C10:F10"/>
    <mergeCell ref="A11:B11"/>
    <mergeCell ref="C11:F11"/>
    <mergeCell ref="A6:B6"/>
    <mergeCell ref="E6:F6"/>
    <mergeCell ref="A7:B7"/>
    <mergeCell ref="E7:F7"/>
    <mergeCell ref="A8:B8"/>
    <mergeCell ref="E8:F8"/>
    <mergeCell ref="A1:B3"/>
    <mergeCell ref="C1:F1"/>
    <mergeCell ref="C2:F2"/>
    <mergeCell ref="C3:F3"/>
    <mergeCell ref="A5:F5"/>
  </mergeCells>
  <dataValidations count="2">
    <dataValidation type="list" allowBlank="1" sqref="C8" xr:uid="{00000000-0002-0000-0B00-000000000000}">
      <formula1>"Plan entry (before finalization),Actual operational volume,Other"</formula1>
      <formula2>0</formula2>
    </dataValidation>
    <dataValidation type="list" allowBlank="1" sqref="C14" xr:uid="{00000000-0002-0000-0B00-000001000000}">
      <formula1>"Approved,Rejected"</formula1>
      <formula2>0</formula2>
    </dataValidation>
  </dataValidations>
  <pageMargins left="0.5" right="0.5" top="1" bottom="1" header="0.511811023622047" footer="0.5"/>
  <pageSetup paperSize="9" fitToHeight="0" orientation="portrait" horizontalDpi="300" verticalDpi="300"/>
  <headerFooter>
    <oddFooter>&amp;LPL-11 | Crest Point Consulting Group&amp;CPage &amp;P of &amp;N&amp;RStrictly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7F7F7F"/>
    <pageSetUpPr fitToPage="1"/>
  </sheetPr>
  <dimension ref="A1:F12"/>
  <sheetViews>
    <sheetView showGridLines="0" zoomScaleNormal="100" workbookViewId="0">
      <pane ySplit="5" topLeftCell="A6" activePane="bottomLeft" state="frozen"/>
      <selection pane="bottomLeft"/>
    </sheetView>
  </sheetViews>
  <sheetFormatPr defaultColWidth="8.68359375" defaultRowHeight="14.4" x14ac:dyDescent="0.55000000000000004"/>
  <cols>
    <col min="1" max="2" width="28" customWidth="1"/>
    <col min="3" max="3" width="30" customWidth="1"/>
    <col min="4" max="4" width="32" customWidth="1"/>
    <col min="5" max="5" width="30" customWidth="1"/>
    <col min="6" max="6" width="40" customWidth="1"/>
  </cols>
  <sheetData>
    <row r="1" spans="1:6" ht="21.75" customHeight="1" x14ac:dyDescent="0.55000000000000004">
      <c r="A1" s="6" t="s">
        <v>80</v>
      </c>
      <c r="B1" s="6"/>
      <c r="C1" s="5" t="s">
        <v>0</v>
      </c>
      <c r="D1" s="5"/>
      <c r="E1" s="5"/>
      <c r="F1" s="5"/>
    </row>
    <row r="2" spans="1:6" ht="21.75" customHeight="1" x14ac:dyDescent="0.55000000000000004">
      <c r="A2" s="6"/>
      <c r="B2" s="6"/>
      <c r="C2" s="4" t="s">
        <v>416</v>
      </c>
      <c r="D2" s="4"/>
      <c r="E2" s="4"/>
      <c r="F2" s="4"/>
    </row>
    <row r="3" spans="1:6" ht="21.75" customHeight="1" x14ac:dyDescent="0.55000000000000004">
      <c r="A3" s="6"/>
      <c r="B3" s="6"/>
      <c r="C3" s="3" t="s">
        <v>417</v>
      </c>
      <c r="D3" s="3"/>
      <c r="E3" s="3"/>
      <c r="F3" s="3"/>
    </row>
    <row r="5" spans="1:6" ht="33.75" customHeight="1" x14ac:dyDescent="0.55000000000000004">
      <c r="A5" s="19" t="s">
        <v>418</v>
      </c>
      <c r="B5" s="19" t="s">
        <v>419</v>
      </c>
      <c r="C5" s="19" t="s">
        <v>420</v>
      </c>
      <c r="D5" s="19" t="s">
        <v>421</v>
      </c>
      <c r="E5" s="19" t="s">
        <v>422</v>
      </c>
      <c r="F5" s="19" t="s">
        <v>423</v>
      </c>
    </row>
    <row r="6" spans="1:6" ht="30.75" customHeight="1" x14ac:dyDescent="0.55000000000000004">
      <c r="A6" s="15" t="s">
        <v>17</v>
      </c>
      <c r="B6" s="15" t="s">
        <v>424</v>
      </c>
      <c r="C6" s="15" t="s">
        <v>425</v>
      </c>
      <c r="D6" s="15" t="s">
        <v>426</v>
      </c>
      <c r="E6" s="15" t="s">
        <v>427</v>
      </c>
      <c r="F6" s="15" t="s">
        <v>428</v>
      </c>
    </row>
    <row r="7" spans="1:6" ht="30.75" customHeight="1" x14ac:dyDescent="0.55000000000000004">
      <c r="A7" s="15" t="s">
        <v>429</v>
      </c>
      <c r="B7" s="15" t="s">
        <v>430</v>
      </c>
      <c r="C7" s="15" t="s">
        <v>431</v>
      </c>
      <c r="D7" s="15" t="s">
        <v>432</v>
      </c>
      <c r="E7" s="15" t="s">
        <v>433</v>
      </c>
      <c r="F7" s="15" t="s">
        <v>434</v>
      </c>
    </row>
    <row r="8" spans="1:6" ht="30.75" customHeight="1" x14ac:dyDescent="0.55000000000000004">
      <c r="A8" s="15" t="s">
        <v>33</v>
      </c>
      <c r="B8" s="15" t="s">
        <v>435</v>
      </c>
      <c r="C8" s="15" t="s">
        <v>426</v>
      </c>
      <c r="D8" s="15" t="s">
        <v>426</v>
      </c>
      <c r="E8" s="15" t="s">
        <v>436</v>
      </c>
      <c r="F8" s="15" t="s">
        <v>437</v>
      </c>
    </row>
    <row r="9" spans="1:6" ht="30.75" customHeight="1" x14ac:dyDescent="0.55000000000000004">
      <c r="A9" s="15" t="s">
        <v>438</v>
      </c>
      <c r="B9" s="15" t="s">
        <v>439</v>
      </c>
      <c r="C9" s="15" t="s">
        <v>440</v>
      </c>
      <c r="D9" s="15" t="s">
        <v>441</v>
      </c>
      <c r="E9" s="15" t="s">
        <v>442</v>
      </c>
      <c r="F9" s="15" t="s">
        <v>443</v>
      </c>
    </row>
    <row r="10" spans="1:6" ht="30.75" customHeight="1" x14ac:dyDescent="0.55000000000000004">
      <c r="A10" s="15" t="s">
        <v>444</v>
      </c>
      <c r="B10" s="15" t="s">
        <v>439</v>
      </c>
      <c r="C10" s="15" t="s">
        <v>445</v>
      </c>
      <c r="D10" s="15" t="s">
        <v>426</v>
      </c>
      <c r="E10" s="15" t="s">
        <v>446</v>
      </c>
      <c r="F10" s="15" t="s">
        <v>447</v>
      </c>
    </row>
    <row r="11" spans="1:6" ht="30.75" customHeight="1" x14ac:dyDescent="0.55000000000000004">
      <c r="A11" s="15" t="s">
        <v>448</v>
      </c>
      <c r="B11" s="15" t="s">
        <v>449</v>
      </c>
      <c r="C11" s="15" t="s">
        <v>450</v>
      </c>
      <c r="D11" s="15" t="s">
        <v>451</v>
      </c>
      <c r="E11" s="15" t="s">
        <v>452</v>
      </c>
      <c r="F11" s="15" t="s">
        <v>453</v>
      </c>
    </row>
    <row r="12" spans="1:6" ht="30.75" customHeight="1" x14ac:dyDescent="0.55000000000000004">
      <c r="A12" s="15" t="s">
        <v>57</v>
      </c>
      <c r="B12" s="15" t="s">
        <v>424</v>
      </c>
      <c r="C12" s="15" t="s">
        <v>454</v>
      </c>
      <c r="D12" s="15" t="s">
        <v>426</v>
      </c>
      <c r="E12" s="15" t="s">
        <v>455</v>
      </c>
      <c r="F12" s="15" t="s">
        <v>456</v>
      </c>
    </row>
  </sheetData>
  <mergeCells count="4">
    <mergeCell ref="A1:B3"/>
    <mergeCell ref="C1:F1"/>
    <mergeCell ref="C2:F2"/>
    <mergeCell ref="C3:F3"/>
  </mergeCells>
  <pageMargins left="0.5" right="0.5" top="1" bottom="1" header="0.511811023622047" footer="0.5"/>
  <pageSetup paperSize="9" fitToHeight="0" orientation="landscape" horizontalDpi="300" verticalDpi="300"/>
  <headerFooter>
    <oddFooter>&amp;LPL-12 | Crest Point Consulting Group&amp;CPage &amp;P of &amp;N&amp;RStrictly Confidential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7F7F7F"/>
    <pageSetUpPr fitToPage="1"/>
  </sheetPr>
  <dimension ref="A1:D24"/>
  <sheetViews>
    <sheetView showGridLines="0" zoomScaleNormal="100" workbookViewId="0"/>
  </sheetViews>
  <sheetFormatPr defaultColWidth="8.68359375" defaultRowHeight="14.4" x14ac:dyDescent="0.55000000000000004"/>
  <cols>
    <col min="1" max="1" width="34" customWidth="1"/>
    <col min="2" max="2" width="44" customWidth="1"/>
    <col min="3" max="3" width="40" customWidth="1"/>
    <col min="4" max="4" width="48" customWidth="1"/>
  </cols>
  <sheetData>
    <row r="1" spans="1:4" ht="21.75" customHeight="1" x14ac:dyDescent="0.55000000000000004">
      <c r="A1" s="6" t="s">
        <v>80</v>
      </c>
      <c r="B1" s="6"/>
      <c r="C1" s="5" t="s">
        <v>0</v>
      </c>
      <c r="D1" s="5"/>
    </row>
    <row r="2" spans="1:4" ht="21.75" customHeight="1" x14ac:dyDescent="0.55000000000000004">
      <c r="A2" s="6"/>
      <c r="B2" s="6"/>
      <c r="C2" s="4" t="s">
        <v>457</v>
      </c>
      <c r="D2" s="4"/>
    </row>
    <row r="3" spans="1:4" ht="21.75" customHeight="1" x14ac:dyDescent="0.55000000000000004">
      <c r="A3" s="6"/>
      <c r="B3" s="6"/>
      <c r="C3" s="3" t="s">
        <v>458</v>
      </c>
      <c r="D3" s="3"/>
    </row>
    <row r="5" spans="1:4" ht="30" customHeight="1" x14ac:dyDescent="0.55000000000000004">
      <c r="A5" s="19" t="s">
        <v>459</v>
      </c>
      <c r="B5" s="19" t="s">
        <v>460</v>
      </c>
      <c r="C5" s="19" t="s">
        <v>461</v>
      </c>
      <c r="D5" s="19" t="s">
        <v>278</v>
      </c>
    </row>
    <row r="6" spans="1:4" ht="30.75" customHeight="1" x14ac:dyDescent="0.55000000000000004">
      <c r="A6" s="15" t="s">
        <v>462</v>
      </c>
      <c r="B6" s="15" t="s">
        <v>463</v>
      </c>
      <c r="C6" s="15" t="s">
        <v>464</v>
      </c>
      <c r="D6" s="15" t="s">
        <v>465</v>
      </c>
    </row>
    <row r="7" spans="1:4" ht="30.75" customHeight="1" x14ac:dyDescent="0.55000000000000004">
      <c r="A7" s="15" t="s">
        <v>466</v>
      </c>
      <c r="B7" s="15" t="s">
        <v>467</v>
      </c>
      <c r="C7" s="15" t="s">
        <v>468</v>
      </c>
      <c r="D7" s="15" t="s">
        <v>469</v>
      </c>
    </row>
    <row r="8" spans="1:4" ht="30.75" customHeight="1" x14ac:dyDescent="0.55000000000000004">
      <c r="A8" s="15" t="s">
        <v>285</v>
      </c>
      <c r="B8" s="15" t="s">
        <v>470</v>
      </c>
      <c r="C8" s="15" t="s">
        <v>468</v>
      </c>
      <c r="D8" s="15" t="s">
        <v>471</v>
      </c>
    </row>
    <row r="9" spans="1:4" ht="18" customHeight="1" x14ac:dyDescent="0.55000000000000004">
      <c r="A9" s="15" t="s">
        <v>287</v>
      </c>
      <c r="B9" s="15" t="s">
        <v>472</v>
      </c>
      <c r="C9" s="15" t="s">
        <v>468</v>
      </c>
      <c r="D9" s="15" t="s">
        <v>473</v>
      </c>
    </row>
    <row r="10" spans="1:4" ht="30.75" customHeight="1" x14ac:dyDescent="0.55000000000000004">
      <c r="A10" s="15" t="s">
        <v>126</v>
      </c>
      <c r="B10" s="15" t="s">
        <v>474</v>
      </c>
      <c r="C10" s="15" t="s">
        <v>468</v>
      </c>
      <c r="D10" s="15" t="s">
        <v>475</v>
      </c>
    </row>
    <row r="11" spans="1:4" ht="30.75" customHeight="1" x14ac:dyDescent="0.55000000000000004">
      <c r="A11" s="15" t="s">
        <v>476</v>
      </c>
      <c r="B11" s="15" t="s">
        <v>477</v>
      </c>
      <c r="C11" s="15" t="s">
        <v>478</v>
      </c>
      <c r="D11" s="15" t="s">
        <v>479</v>
      </c>
    </row>
    <row r="13" spans="1:4" ht="18" customHeight="1" x14ac:dyDescent="0.55000000000000004">
      <c r="A13" s="2" t="s">
        <v>480</v>
      </c>
      <c r="B13" s="2"/>
      <c r="C13" s="2"/>
      <c r="D13" s="2"/>
    </row>
    <row r="14" spans="1:4" ht="27.75" customHeight="1" x14ac:dyDescent="0.55000000000000004">
      <c r="A14" s="7" t="s">
        <v>481</v>
      </c>
      <c r="B14" s="7"/>
      <c r="C14" s="7"/>
      <c r="D14" s="7"/>
    </row>
    <row r="15" spans="1:4" ht="27.75" customHeight="1" x14ac:dyDescent="0.55000000000000004">
      <c r="A15" s="7" t="s">
        <v>482</v>
      </c>
      <c r="B15" s="7"/>
      <c r="C15" s="7"/>
      <c r="D15" s="7"/>
    </row>
    <row r="16" spans="1:4" ht="27.75" customHeight="1" x14ac:dyDescent="0.55000000000000004">
      <c r="A16" s="7" t="s">
        <v>483</v>
      </c>
      <c r="B16" s="7"/>
      <c r="C16" s="7"/>
      <c r="D16" s="7"/>
    </row>
    <row r="17" spans="1:4" ht="30.75" customHeight="1" x14ac:dyDescent="0.55000000000000004">
      <c r="A17" s="7" t="s">
        <v>484</v>
      </c>
      <c r="B17" s="7"/>
      <c r="C17" s="7"/>
      <c r="D17" s="7"/>
    </row>
    <row r="19" spans="1:4" ht="18" customHeight="1" x14ac:dyDescent="0.55000000000000004">
      <c r="A19" s="9" t="s">
        <v>485</v>
      </c>
      <c r="B19" s="9"/>
      <c r="C19" s="9"/>
      <c r="D19" s="9"/>
    </row>
    <row r="20" spans="1:4" ht="27.75" customHeight="1" x14ac:dyDescent="0.55000000000000004">
      <c r="A20" s="7" t="s">
        <v>486</v>
      </c>
      <c r="B20" s="7"/>
      <c r="C20" s="7"/>
      <c r="D20" s="7"/>
    </row>
    <row r="21" spans="1:4" ht="30.75" customHeight="1" x14ac:dyDescent="0.55000000000000004">
      <c r="A21" s="7" t="s">
        <v>487</v>
      </c>
      <c r="B21" s="7"/>
      <c r="C21" s="7"/>
      <c r="D21" s="7"/>
    </row>
    <row r="22" spans="1:4" ht="27.75" customHeight="1" x14ac:dyDescent="0.55000000000000004">
      <c r="A22" s="7" t="s">
        <v>488</v>
      </c>
      <c r="B22" s="7"/>
      <c r="C22" s="7"/>
      <c r="D22" s="7"/>
    </row>
    <row r="23" spans="1:4" ht="27.75" customHeight="1" x14ac:dyDescent="0.55000000000000004">
      <c r="A23" s="7" t="s">
        <v>489</v>
      </c>
      <c r="B23" s="7"/>
      <c r="C23" s="7"/>
      <c r="D23" s="7"/>
    </row>
    <row r="24" spans="1:4" ht="27.75" customHeight="1" x14ac:dyDescent="0.55000000000000004">
      <c r="A24" s="7" t="s">
        <v>490</v>
      </c>
      <c r="B24" s="7"/>
      <c r="C24" s="7"/>
      <c r="D24" s="7"/>
    </row>
  </sheetData>
  <mergeCells count="15">
    <mergeCell ref="A20:D20"/>
    <mergeCell ref="A21:D21"/>
    <mergeCell ref="A22:D22"/>
    <mergeCell ref="A23:D23"/>
    <mergeCell ref="A24:D24"/>
    <mergeCell ref="A14:D14"/>
    <mergeCell ref="A15:D15"/>
    <mergeCell ref="A16:D16"/>
    <mergeCell ref="A17:D17"/>
    <mergeCell ref="A19:D19"/>
    <mergeCell ref="A1:B3"/>
    <mergeCell ref="C1:D1"/>
    <mergeCell ref="C2:D2"/>
    <mergeCell ref="C3:D3"/>
    <mergeCell ref="A13:D13"/>
  </mergeCells>
  <pageMargins left="0.5" right="0.5" top="1" bottom="1" header="0.511811023622047" footer="0.5"/>
  <pageSetup paperSize="9" fitToHeight="0" orientation="landscape" horizontalDpi="300" verticalDpi="300"/>
  <headerFooter>
    <oddFooter>&amp;LPL-13 | Crest Point Consulting Group&amp;CPage &amp;P of &amp;N&amp;RStrictly Confidential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7F7F7F"/>
    <pageSetUpPr fitToPage="1"/>
  </sheetPr>
  <dimension ref="A1:E14"/>
  <sheetViews>
    <sheetView showGridLines="0" zoomScaleNormal="100" workbookViewId="0"/>
  </sheetViews>
  <sheetFormatPr defaultColWidth="8.68359375" defaultRowHeight="14.4" x14ac:dyDescent="0.55000000000000004"/>
  <cols>
    <col min="1" max="1" width="5" customWidth="1"/>
    <col min="2" max="2" width="42" customWidth="1"/>
    <col min="3" max="3" width="22" customWidth="1"/>
    <col min="4" max="4" width="70" customWidth="1"/>
    <col min="5" max="5" width="14" customWidth="1"/>
  </cols>
  <sheetData>
    <row r="1" spans="1:5" ht="55.5" customHeight="1" x14ac:dyDescent="0.55000000000000004">
      <c r="A1" s="6" t="s">
        <v>80</v>
      </c>
      <c r="B1" s="6"/>
      <c r="C1" s="5" t="s">
        <v>0</v>
      </c>
      <c r="D1" s="5"/>
      <c r="E1" s="5"/>
    </row>
    <row r="2" spans="1:5" ht="21.75" customHeight="1" x14ac:dyDescent="0.55000000000000004">
      <c r="A2" s="6"/>
      <c r="B2" s="6"/>
      <c r="C2" s="4" t="s">
        <v>491</v>
      </c>
      <c r="D2" s="4"/>
      <c r="E2" s="4"/>
    </row>
    <row r="3" spans="1:5" ht="30.75" customHeight="1" x14ac:dyDescent="0.55000000000000004">
      <c r="A3" s="6"/>
      <c r="B3" s="6"/>
      <c r="C3" s="3" t="s">
        <v>492</v>
      </c>
      <c r="D3" s="3"/>
      <c r="E3" s="3"/>
    </row>
    <row r="5" spans="1:5" ht="30" customHeight="1" x14ac:dyDescent="0.55000000000000004">
      <c r="A5" s="19" t="s">
        <v>493</v>
      </c>
      <c r="B5" s="19" t="s">
        <v>494</v>
      </c>
      <c r="C5" s="19" t="s">
        <v>495</v>
      </c>
      <c r="D5" s="19" t="s">
        <v>496</v>
      </c>
      <c r="E5" s="19" t="s">
        <v>497</v>
      </c>
    </row>
    <row r="6" spans="1:5" ht="30.75" customHeight="1" x14ac:dyDescent="0.55000000000000004">
      <c r="A6" s="15">
        <v>1</v>
      </c>
      <c r="B6" s="15" t="s">
        <v>498</v>
      </c>
      <c r="C6" s="15" t="s">
        <v>499</v>
      </c>
      <c r="D6" s="15" t="s">
        <v>500</v>
      </c>
      <c r="E6" s="15" t="s">
        <v>501</v>
      </c>
    </row>
    <row r="7" spans="1:5" ht="30.75" customHeight="1" x14ac:dyDescent="0.55000000000000004">
      <c r="A7" s="15">
        <v>2</v>
      </c>
      <c r="B7" s="15" t="s">
        <v>502</v>
      </c>
      <c r="C7" s="15" t="s">
        <v>499</v>
      </c>
      <c r="D7" s="15" t="s">
        <v>503</v>
      </c>
      <c r="E7" s="15" t="s">
        <v>501</v>
      </c>
    </row>
    <row r="8" spans="1:5" ht="30.75" customHeight="1" x14ac:dyDescent="0.55000000000000004">
      <c r="A8" s="15">
        <v>3</v>
      </c>
      <c r="B8" s="15" t="s">
        <v>504</v>
      </c>
      <c r="C8" s="15" t="s">
        <v>505</v>
      </c>
      <c r="D8" s="15" t="s">
        <v>506</v>
      </c>
      <c r="E8" s="15" t="s">
        <v>501</v>
      </c>
    </row>
    <row r="9" spans="1:5" ht="30.75" customHeight="1" x14ac:dyDescent="0.55000000000000004">
      <c r="A9" s="15">
        <v>4</v>
      </c>
      <c r="B9" s="15" t="s">
        <v>507</v>
      </c>
      <c r="C9" s="15" t="s">
        <v>508</v>
      </c>
      <c r="D9" s="15" t="s">
        <v>509</v>
      </c>
      <c r="E9" s="15" t="s">
        <v>501</v>
      </c>
    </row>
    <row r="10" spans="1:5" ht="18" customHeight="1" x14ac:dyDescent="0.55000000000000004">
      <c r="A10" s="15">
        <v>5</v>
      </c>
      <c r="B10" s="15" t="s">
        <v>510</v>
      </c>
      <c r="C10" s="15" t="s">
        <v>508</v>
      </c>
      <c r="D10" s="15" t="s">
        <v>511</v>
      </c>
      <c r="E10" s="15" t="s">
        <v>501</v>
      </c>
    </row>
    <row r="11" spans="1:5" ht="30.75" customHeight="1" x14ac:dyDescent="0.55000000000000004">
      <c r="A11" s="15">
        <v>6</v>
      </c>
      <c r="B11" s="15" t="s">
        <v>512</v>
      </c>
      <c r="C11" s="15" t="s">
        <v>513</v>
      </c>
      <c r="D11" s="15" t="s">
        <v>514</v>
      </c>
      <c r="E11" s="15" t="s">
        <v>501</v>
      </c>
    </row>
    <row r="12" spans="1:5" ht="18" customHeight="1" x14ac:dyDescent="0.55000000000000004">
      <c r="A12" s="15">
        <v>7</v>
      </c>
      <c r="B12" s="15" t="s">
        <v>515</v>
      </c>
      <c r="C12" s="15" t="s">
        <v>505</v>
      </c>
      <c r="D12" s="15" t="s">
        <v>516</v>
      </c>
      <c r="E12" s="15" t="s">
        <v>501</v>
      </c>
    </row>
    <row r="13" spans="1:5" ht="30.75" customHeight="1" x14ac:dyDescent="0.55000000000000004">
      <c r="A13" s="15">
        <v>8</v>
      </c>
      <c r="B13" s="15" t="s">
        <v>517</v>
      </c>
      <c r="C13" s="15" t="s">
        <v>499</v>
      </c>
      <c r="D13" s="15" t="s">
        <v>518</v>
      </c>
      <c r="E13" s="15" t="s">
        <v>501</v>
      </c>
    </row>
    <row r="14" spans="1:5" ht="30.75" customHeight="1" x14ac:dyDescent="0.55000000000000004">
      <c r="A14" s="15">
        <v>9</v>
      </c>
      <c r="B14" s="15" t="s">
        <v>519</v>
      </c>
      <c r="C14" s="15" t="s">
        <v>499</v>
      </c>
      <c r="D14" s="15" t="s">
        <v>520</v>
      </c>
      <c r="E14" s="15" t="s">
        <v>501</v>
      </c>
    </row>
  </sheetData>
  <mergeCells count="4">
    <mergeCell ref="A1:B3"/>
    <mergeCell ref="C1:E1"/>
    <mergeCell ref="C2:E2"/>
    <mergeCell ref="C3:E3"/>
  </mergeCells>
  <pageMargins left="0.5" right="0.5" top="1" bottom="1" header="0.511811023622047" footer="0.5"/>
  <pageSetup paperSize="9" fitToHeight="0" orientation="landscape" horizontalDpi="300" verticalDpi="300"/>
  <headerFooter>
    <oddFooter>&amp;LPL-14 | Crest Point Consulting Group&amp;CPage &amp;P of &amp;N&amp;RStrictly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Index</vt:lpstr>
      <vt:lpstr>PL-01 Plan Item Creation</vt:lpstr>
      <vt:lpstr>PL-02 Plan Approval Record</vt:lpstr>
      <vt:lpstr>PL-03 Operational Plan</vt:lpstr>
      <vt:lpstr>PL-04 Financial Plan</vt:lpstr>
      <vt:lpstr>PL-05 Actual Volume Entry</vt:lpstr>
      <vt:lpstr>PL-06 Variance Analysis</vt:lpstr>
      <vt:lpstr>PL-07 Alert Parameters &amp; Log</vt:lpstr>
      <vt:lpstr>PL-08 Actual vs Planned P&amp;L</vt:lpstr>
      <vt:lpstr>PL-09 Plan Amendment Request</vt:lpstr>
      <vt:lpstr>PL-10 Correspondence Register</vt:lpstr>
      <vt:lpstr>PL-11 Correction Request</vt:lpstr>
      <vt:lpstr>PL-12 Approval Matrix</vt:lpstr>
      <vt:lpstr>PL-13 Data Sources &amp; Logic</vt:lpstr>
      <vt:lpstr>PL-14 Reports Spec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Fayaz Yasini;Crest_Point1</dc:creator>
  <dc:description/>
  <cp:lastModifiedBy>Fayaz Yasini</cp:lastModifiedBy>
  <cp:revision>0</cp:revision>
  <cp:lastPrinted>2026-10-16T12:40:54Z</cp:lastPrinted>
  <dcterms:created xsi:type="dcterms:W3CDTF">2026-10-16T05:25:43Z</dcterms:created>
  <dcterms:modified xsi:type="dcterms:W3CDTF">2026-10-16T12:40:58Z</dcterms:modified>
  <dc:language>en-US</dc:language>
</cp:coreProperties>
</file>