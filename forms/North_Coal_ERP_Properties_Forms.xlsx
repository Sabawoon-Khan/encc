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ayaz Yasini\Downloads\Forms\"/>
    </mc:Choice>
  </mc:AlternateContent>
  <xr:revisionPtr revIDLastSave="0" documentId="13_ncr:1_{FBFCDD5A-7939-427D-8F6C-220E30E2037D}" xr6:coauthVersionLast="47" xr6:coauthVersionMax="47" xr10:uidLastSave="{00000000-0000-0000-0000-000000000000}"/>
  <bookViews>
    <workbookView xWindow="-96" yWindow="-96" windowWidth="23232" windowHeight="13872" tabRatio="500" xr2:uid="{00000000-000D-0000-FFFF-FFFF00000000}"/>
  </bookViews>
  <sheets>
    <sheet name="Index" sheetId="1" r:id="rId1"/>
    <sheet name="PP-01 Land Registration" sheetId="2" r:id="rId2"/>
    <sheet name="PP-02 Building Registration" sheetId="3" r:id="rId3"/>
    <sheet name="PP-03 In-Use Property Record" sheetId="4" r:id="rId4"/>
    <sheet name="PP-04 Tenancy Record" sheetId="5" r:id="rId5"/>
    <sheet name="PP-05 Rent Due Auto-Posting" sheetId="6" r:id="rId6"/>
    <sheet name="PP-06 Tenant Payment Receipt" sheetId="7" r:id="rId7"/>
    <sheet name="PP-07 IC Receipt Verification" sheetId="8" r:id="rId8"/>
    <sheet name="PP-08 Tenant Ledger" sheetId="9" r:id="rId9"/>
    <sheet name="PP-09 Alerts &amp; Follow-Up" sheetId="10" r:id="rId10"/>
    <sheet name="PP-10 BRT Payable Ledger" sheetId="11" r:id="rId11"/>
    <sheet name="PP-11 Property Disposal" sheetId="12" r:id="rId12"/>
    <sheet name="PP-12 Revaluation &amp; Impairment" sheetId="13" r:id="rId13"/>
    <sheet name="PP-13 Property Class Request" sheetId="14" r:id="rId14"/>
    <sheet name="PP-14 Property Asset Register" sheetId="15" r:id="rId15"/>
    <sheet name="PP-15 Correction Request" sheetId="16" r:id="rId16"/>
    <sheet name="PP-16 Approval Matrix" sheetId="17" r:id="rId17"/>
    <sheet name="PP-17 Accounting Entries" sheetId="18" r:id="rId18"/>
    <sheet name="PP-18 Reports Spec" sheetId="19" r:id="rId1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6" i="15" l="1"/>
  <c r="D26" i="15"/>
  <c r="E25" i="15"/>
  <c r="D25" i="15"/>
  <c r="E24" i="15"/>
  <c r="D24" i="15"/>
  <c r="E23" i="15"/>
  <c r="D23" i="15"/>
  <c r="H20" i="15"/>
  <c r="F20" i="15"/>
  <c r="C11" i="14"/>
  <c r="C14" i="13"/>
  <c r="C9" i="13"/>
  <c r="E9" i="13" s="1"/>
  <c r="C13" i="12"/>
  <c r="C14" i="12" s="1"/>
  <c r="E14" i="12" s="1"/>
  <c r="D20" i="11"/>
  <c r="B20" i="11"/>
  <c r="E19" i="11"/>
  <c r="C19" i="11"/>
  <c r="E18" i="11"/>
  <c r="C18" i="11"/>
  <c r="C17" i="11"/>
  <c r="C16" i="11"/>
  <c r="C15" i="11"/>
  <c r="C14" i="11"/>
  <c r="C13" i="11"/>
  <c r="C12" i="11"/>
  <c r="C11" i="11"/>
  <c r="C10" i="11"/>
  <c r="C9" i="11"/>
  <c r="C8" i="11"/>
  <c r="F13" i="10"/>
  <c r="F12" i="10"/>
  <c r="F11" i="10"/>
  <c r="F10" i="10"/>
  <c r="F9" i="10"/>
  <c r="F8" i="10"/>
  <c r="D33" i="9"/>
  <c r="D26" i="9"/>
  <c r="C22" i="9"/>
  <c r="C21" i="9"/>
  <c r="C20" i="9"/>
  <c r="C19" i="9"/>
  <c r="F19" i="9" s="1"/>
  <c r="G19" i="9" s="1"/>
  <c r="C18" i="9"/>
  <c r="F18" i="9" s="1"/>
  <c r="G18" i="9" s="1"/>
  <c r="F17" i="9"/>
  <c r="G17" i="9" s="1"/>
  <c r="C17" i="9"/>
  <c r="C16" i="9"/>
  <c r="F16" i="9" s="1"/>
  <c r="G16" i="9" s="1"/>
  <c r="C15" i="9"/>
  <c r="F15" i="9" s="1"/>
  <c r="G15" i="9" s="1"/>
  <c r="C14" i="9"/>
  <c r="F14" i="9" s="1"/>
  <c r="G14" i="9" s="1"/>
  <c r="C13" i="9"/>
  <c r="F13" i="9" s="1"/>
  <c r="G13" i="9" s="1"/>
  <c r="C12" i="9"/>
  <c r="F12" i="9" s="1"/>
  <c r="G12" i="9" s="1"/>
  <c r="C11" i="9"/>
  <c r="F11" i="9" s="1"/>
  <c r="B11" i="9"/>
  <c r="B12" i="9" s="1"/>
  <c r="C14" i="8"/>
  <c r="E13" i="8"/>
  <c r="E12" i="8"/>
  <c r="E10" i="7"/>
  <c r="F7" i="6"/>
  <c r="C13" i="5"/>
  <c r="E13" i="5" s="1"/>
  <c r="C12" i="5"/>
  <c r="E12" i="5" s="1"/>
  <c r="C16" i="3"/>
  <c r="C20" i="11" l="1"/>
  <c r="E20" i="11" s="1"/>
  <c r="E8" i="11"/>
  <c r="E9" i="11" s="1"/>
  <c r="E10" i="11" s="1"/>
  <c r="E11" i="11" s="1"/>
  <c r="E12" i="11" s="1"/>
  <c r="E13" i="11" s="1"/>
  <c r="E14" i="11" s="1"/>
  <c r="E15" i="11" s="1"/>
  <c r="E16" i="11" s="1"/>
  <c r="E17" i="11" s="1"/>
  <c r="G11" i="9"/>
  <c r="B13" i="9"/>
  <c r="B16" i="6"/>
  <c r="B15" i="6"/>
  <c r="B14" i="6"/>
  <c r="B13" i="6"/>
  <c r="B12" i="6"/>
  <c r="B11" i="6"/>
  <c r="F8" i="6"/>
  <c r="C11" i="6" l="1"/>
  <c r="C12" i="6"/>
  <c r="C13" i="6"/>
  <c r="C14" i="6"/>
  <c r="C15" i="6"/>
  <c r="C16" i="6"/>
  <c r="B14" i="9"/>
  <c r="B15" i="9" s="1"/>
  <c r="B16" i="9" s="1"/>
  <c r="B17" i="9" s="1"/>
  <c r="B18" i="9" s="1"/>
  <c r="B19" i="9" s="1"/>
  <c r="B20" i="9" s="1"/>
  <c r="D11" i="6" l="1"/>
  <c r="E11" i="6"/>
  <c r="C17" i="6"/>
  <c r="D12" i="6"/>
  <c r="E12" i="6"/>
  <c r="D13" i="6"/>
  <c r="E13" i="6"/>
  <c r="D14" i="6"/>
  <c r="E14" i="6"/>
  <c r="D15" i="6"/>
  <c r="E15" i="6"/>
  <c r="D16" i="6"/>
  <c r="E16" i="6"/>
  <c r="B21" i="9"/>
  <c r="F20" i="9"/>
  <c r="D25" i="9" l="1"/>
  <c r="D30" i="9"/>
  <c r="F21" i="9"/>
  <c r="G21" i="9" s="1"/>
  <c r="B22" i="9"/>
  <c r="F22" i="9" s="1"/>
  <c r="G22" i="9" s="1"/>
  <c r="D32" i="9"/>
  <c r="D31" i="9"/>
  <c r="G20" i="9"/>
  <c r="D29" i="9" s="1"/>
  <c r="E17" i="6"/>
  <c r="D17" i="6"/>
  <c r="D27" i="9" l="1"/>
  <c r="D28" i="9"/>
</calcChain>
</file>

<file path=xl/sharedStrings.xml><?xml version="1.0" encoding="utf-8"?>
<sst xmlns="http://schemas.openxmlformats.org/spreadsheetml/2006/main" count="992" uniqueCount="654">
  <si>
    <t>NORTH COAL STATE OWNED CORPORATION</t>
  </si>
  <si>
    <t>ERP FORMS &amp; STANDARD TEMPLATES - PROPERTIES MODULE</t>
  </si>
  <si>
    <t>Developer pack accompanying the approved System Architecture &amp; BPR Report (20 September 2026)  |  Prepared by Crest Point Consulting Group  |  Version 1.0</t>
  </si>
  <si>
    <t>COLOUR LEGEND</t>
  </si>
  <si>
    <t>Yellow</t>
  </si>
  <si>
    <t>Field entered by a user (blue text = example data shown for illustration)</t>
  </si>
  <si>
    <t>Grey</t>
  </si>
  <si>
    <t>Auto-populated / auto-calculated by the system</t>
  </si>
  <si>
    <t>Light grey</t>
  </si>
  <si>
    <t>Not applicable on this form</t>
  </si>
  <si>
    <t>Navy</t>
  </si>
  <si>
    <t>Section / column headers and signature-block titles</t>
  </si>
  <si>
    <t>Form Code</t>
  </si>
  <si>
    <t>Sheet (click to open)</t>
  </si>
  <si>
    <t>Purpose</t>
  </si>
  <si>
    <t>Source in approved report</t>
  </si>
  <si>
    <t>PP-01</t>
  </si>
  <si>
    <t>PP-01 Land Registration</t>
  </si>
  <si>
    <t>Land asset registration (depreciation locked at zero)</t>
  </si>
  <si>
    <t>4.5.2 Property Asset Registration</t>
  </si>
  <si>
    <t>PP-02</t>
  </si>
  <si>
    <t>PP-02 Building Registration</t>
  </si>
  <si>
    <t>Building registration with Inventory-assigned depreciation rate</t>
  </si>
  <si>
    <t>PP-03</t>
  </si>
  <si>
    <t>PP-03 In-Use Property Record</t>
  </si>
  <si>
    <t>Occupancy, purpose, condition and maintenance history</t>
  </si>
  <si>
    <t>4.5.2 In-Use Property Management</t>
  </si>
  <si>
    <t>PP-04</t>
  </si>
  <si>
    <t>PP-04 Tenancy Record</t>
  </si>
  <si>
    <t>Tenancy agreement record with auto contract value and BRT rate</t>
  </si>
  <si>
    <t>4.5.2 Rental Property Management and Credit Control</t>
  </si>
  <si>
    <t>PP-05</t>
  </si>
  <si>
    <t>PP-05 Rent Due Auto-Posting</t>
  </si>
  <si>
    <t>Automatic rent and BRT occurrence postings per due date</t>
  </si>
  <si>
    <t>4.5.2 BRT on Rental Income; Workflow 2</t>
  </si>
  <si>
    <t>PP-06</t>
  </si>
  <si>
    <t>PP-06 Tenant Payment Receipt</t>
  </si>
  <si>
    <t>Finance log of tenant deposit slips (posts after IC)</t>
  </si>
  <si>
    <t>4.5.2 Tenant Payment Receipt</t>
  </si>
  <si>
    <t>PP-07</t>
  </si>
  <si>
    <t>PP-07 IC Receipt Verification</t>
  </si>
  <si>
    <t>Mandatory IC verify / reject of the tenant receipt</t>
  </si>
  <si>
    <t>4.5.2 Tenant Payment Receipt; Workflow 3</t>
  </si>
  <si>
    <t>PP-08</t>
  </si>
  <si>
    <t>PP-08 Tenant Ledger</t>
  </si>
  <si>
    <t>Live credit-control ledger with all approved ledger fields</t>
  </si>
  <si>
    <t>4.5.2 Tenant Ledger and Payment Tracking</t>
  </si>
  <si>
    <t>PP-09</t>
  </si>
  <si>
    <t>PP-09 Alerts &amp; Follow-Up</t>
  </si>
  <si>
    <t>Alert rules and permanent follow-up log</t>
  </si>
  <si>
    <t>4.5.2 Automated Rent Due Notifications</t>
  </si>
  <si>
    <t>PP-10</t>
  </si>
  <si>
    <t>PP-10 BRT Payable Ledger</t>
  </si>
  <si>
    <t>Running BRT liability, accruals and remittances</t>
  </si>
  <si>
    <t>4.5.2 BRT; 4.5.4 Reports</t>
  </si>
  <si>
    <t>PP-11</t>
  </si>
  <si>
    <t>PP-11 Property Disposal</t>
  </si>
  <si>
    <t>Disposal / write-off record (supporting)</t>
  </si>
  <si>
    <t>4.5.4 Accounting Entries; 4.5.3 roles</t>
  </si>
  <si>
    <t>PP-12</t>
  </si>
  <si>
    <t>PP-12 Revaluation &amp; Impairment</t>
  </si>
  <si>
    <t>Revaluation / impairment with Finance Head and IC approval (supporting)</t>
  </si>
  <si>
    <t>4.5.2 IAS 16 compliance statement</t>
  </si>
  <si>
    <t>PP-13</t>
  </si>
  <si>
    <t>PP-13 Property Class Request</t>
  </si>
  <si>
    <t>New property class needing Finance Head approval</t>
  </si>
  <si>
    <t>4.5.2 Property Asset Classification</t>
  </si>
  <si>
    <t>PP-14</t>
  </si>
  <si>
    <t>PP-14 Property Asset Register</t>
  </si>
  <si>
    <t>Full register report layout with class summary</t>
  </si>
  <si>
    <t>4.5.4 Required Reports</t>
  </si>
  <si>
    <t>PP-15</t>
  </si>
  <si>
    <t>PP-15 Correction Request</t>
  </si>
  <si>
    <t>Standard officer correction request (Properties)</t>
  </si>
  <si>
    <t>4.5.2 Officer Correction Request Workflow</t>
  </si>
  <si>
    <t>PP-16</t>
  </si>
  <si>
    <t>PP-16 Approval Matrix</t>
  </si>
  <si>
    <t>Who prepares, approves and verifies each form</t>
  </si>
  <si>
    <t>4.5.3 System Roles and Access Permissions</t>
  </si>
  <si>
    <t>PP-17</t>
  </si>
  <si>
    <t>PP-17 Accounting Entries</t>
  </si>
  <si>
    <t>Automatic property, rental, BRT and disposal entries</t>
  </si>
  <si>
    <t>4.5.4 Accounting Entries</t>
  </si>
  <si>
    <t>PP-18</t>
  </si>
  <si>
    <t>PP-18 Reports Spec</t>
  </si>
  <si>
    <t>Required property reports, frequency and filters</t>
  </si>
  <si>
    <t>DESIGN RULES THAT APPLY TO EVERY FORM</t>
  </si>
  <si>
    <t>1. Single currency: Afghan Afghani (AFN) only. Areas in square metres.</t>
  </si>
  <si>
    <t>2. Four standard classes: Land - In Use, Land - Rental, Building - In Use, Building - Rental. New classes need Properties Head request and Finance Head approval.</t>
  </si>
  <si>
    <t>3. Properties records and classifies assets; the Inventory department assigns building depreciation rates and posts monthly depreciation. Land depreciation is locked at 0%.</t>
  </si>
  <si>
    <t>4. Rental income and BRT are recognized on occurrence (accrual basis). Tenant payments post only after mandatory Internal Control verification; IC is otherwise read-only.</t>
  </si>
  <si>
    <t>5. The Executive Director and Directors have no system access; their physical approvals are filed in hard copy and recorded by Properties staff. No ED / Director signature block appears on any printed form.</t>
  </si>
  <si>
    <t>6. Officers can never edit or delete a submitted entry; corrections follow PP-15. Every action is written to the Control Log (layout FA-18 in the Finance workbook), which no user can alter.</t>
  </si>
  <si>
    <t>7. Names, references, areas, costs and rates in these sheets are illustrative examples only.</t>
  </si>
  <si>
    <t>[Corporation logo]</t>
  </si>
  <si>
    <t>LAND ASSET REGISTRATION</t>
  </si>
  <si>
    <t>Form PP-01  |  Version 1.0  |  Registered by the Properties Officer; approved by the Properties Department Head</t>
  </si>
  <si>
    <t>A. MANDATORY DETAILS</t>
  </si>
  <si>
    <t>Property Ref. No.
(auto, sequential)</t>
  </si>
  <si>
    <t>PRP-000031</t>
  </si>
  <si>
    <t>Classification</t>
  </si>
  <si>
    <t>Land - Rental</t>
  </si>
  <si>
    <t>Property Name / Description</t>
  </si>
  <si>
    <t>Orchard land - North Block (example)</t>
  </si>
  <si>
    <t>Current Status</t>
  </si>
  <si>
    <t>Rented</t>
  </si>
  <si>
    <t>Location (full address)</t>
  </si>
  <si>
    <t>Example address, Parwan Province</t>
  </si>
  <si>
    <t>Second Unit Assignment (if applicable)</t>
  </si>
  <si>
    <t>Second Unit B</t>
  </si>
  <si>
    <t>Total Area (square metres)</t>
  </si>
  <si>
    <t>Date of Acquisition</t>
  </si>
  <si>
    <t>Acquisition Cost (AFN)</t>
  </si>
  <si>
    <t>Title Deed Reference No.</t>
  </si>
  <si>
    <t>TD-2015-0172</t>
  </si>
  <si>
    <t>Depreciation Rate</t>
  </si>
  <si>
    <t>LOCKED at 0% - non-depreciable</t>
  </si>
  <si>
    <t>Supporting Documents (file upload)</t>
  </si>
  <si>
    <t>Title deed; acquisition documents</t>
  </si>
  <si>
    <t>B. LOCATION COORDINATES (addition - see note 3)</t>
  </si>
  <si>
    <t>Latitude (GPS)</t>
  </si>
  <si>
    <t>35.0000 (example)</t>
  </si>
  <si>
    <t>Longitude (GPS)</t>
  </si>
  <si>
    <t>69.0000 (example)</t>
  </si>
  <si>
    <t>C. APPROVAL AND AUTOMATIC POSTING</t>
  </si>
  <si>
    <t>Director Physical Approval Ref.
(acquisition - see note 4)</t>
  </si>
  <si>
    <t>DIR-ACQ-2015-0088</t>
  </si>
  <si>
    <t>Properties Dept Head Decision</t>
  </si>
  <si>
    <t>Approved</t>
  </si>
  <si>
    <t>Record Status</t>
  </si>
  <si>
    <t>Active</t>
  </si>
  <si>
    <t>Automatic Posting</t>
  </si>
  <si>
    <t>Dr Land Asset Account / Cr Accounts Payable or Bank Account</t>
  </si>
  <si>
    <t>PREPARED BY
(Properties Officer)</t>
  </si>
  <si>
    <t>APPROVED BY
(Properties Department Head)</t>
  </si>
  <si>
    <t>Name:</t>
  </si>
  <si>
    <t>Position:</t>
  </si>
  <si>
    <t>Signature:</t>
  </si>
  <si>
    <t>Date:</t>
  </si>
  <si>
    <t>NOTES FOR DEVELOPERS</t>
  </si>
  <si>
    <t>1. Land is a non-depreciable asset class: the depreciation rate is locked at zero by the system and cannot be edited (IAS 16).</t>
  </si>
  <si>
    <t>2. Properties Officers cannot approve records or edit a submitted entry; corrections follow PP-15. No property is added, modified or disposed of without the complete approval chain recorded.</t>
  </si>
  <si>
    <t>3. ADDITION TO CONFIRM: the As-Is pain point "missing geographic location data / no GPS coordinate database" has no matching field in the approved registration list. Latitude / Longitude are added here (optional boundary polygon could follow).</t>
  </si>
  <si>
    <t>4. ADDITION TO CONFIRM: the roles section says Director approvals for acquisitions are recorded by Properties staff, but no approval-reference field is in the registration list. The field above is added so the physical approval can be traced.</t>
  </si>
  <si>
    <t>5. The Executive Director and Directors have no system access. Physical approvals for property acquisitions and disposals are documented in the hard-copy file and recorded by Properties staff, so no ED / Director signature block appears on these forms.</t>
  </si>
  <si>
    <t>BUILDING ASSET REGISTRATION</t>
  </si>
  <si>
    <t>Form PP-02  |  Version 1.0  |  Depreciation rate is assigned by the Inventory Department Head, not by Properties</t>
  </si>
  <si>
    <t>PRP-000045</t>
  </si>
  <si>
    <t>Building - Rental</t>
  </si>
  <si>
    <t>Commercial building - Market Block A (example)</t>
  </si>
  <si>
    <t>Example address, Kabul</t>
  </si>
  <si>
    <t>HQ</t>
  </si>
  <si>
    <t>Date of Construction or Acquisition</t>
  </si>
  <si>
    <t>Acquisition or Construction Cost (AFN)</t>
  </si>
  <si>
    <t>Title Deed or Registration Ref.</t>
  </si>
  <si>
    <t>TD-2019-0381</t>
  </si>
  <si>
    <t>Title deed; valuation report; construction certificate</t>
  </si>
  <si>
    <t>Latitude / Longitude (addition)</t>
  </si>
  <si>
    <t>34.5000 / 69.2000 (example)</t>
  </si>
  <si>
    <t>B. DEPRECIATION (managed by Inventory &amp; Warehouse)</t>
  </si>
  <si>
    <t>Notification to Inventory Dept</t>
  </si>
  <si>
    <t>Sent automatically on registration</t>
  </si>
  <si>
    <t>Depreciation Rate (% p.a.)
not editable by Properties</t>
  </si>
  <si>
    <t>Rate Assigned By</t>
  </si>
  <si>
    <t>Inventory Department Head</t>
  </si>
  <si>
    <t>Assigned On</t>
  </si>
  <si>
    <t>Monthly Depreciation (AFN)
auto-posted by Inventory (illustrative)</t>
  </si>
  <si>
    <t>Automatic Posting at Registration</t>
  </si>
  <si>
    <t>Dr Building Asset Account / Cr Accounts Payable or Bank Account</t>
  </si>
  <si>
    <t>C. APPROVAL</t>
  </si>
  <si>
    <t>Director Physical Approval Ref.
(acquisition - see note 3)</t>
  </si>
  <si>
    <t>DIR-ACQ-2019-0140</t>
  </si>
  <si>
    <t>Depreciation Posting Starts</t>
  </si>
  <si>
    <t>After rate assignment</t>
  </si>
  <si>
    <t>APPROVED BY
(Properties Dept Head)</t>
  </si>
  <si>
    <t>RATE ASSIGNED BY
(Inventory Dept Head)</t>
  </si>
  <si>
    <t>1. Sequence: Officer registers and uploads documents -&gt; Properties Head reviews and approves -&gt; record becomes Active -&gt; system notifies the Inventory Department Head -&gt; Inventory Head enters the depreciation rate -&gt; monthly depreciation posts automatically (Dr Depreciation Expense / Cr Accumulated Depreciation - Buildings).</t>
  </si>
  <si>
    <t>2. The monthly figure shown assumes straight-line for illustration only; the approved report does not state the depreciation method (see IN-07). The rate is read-only for the Properties department.</t>
  </si>
  <si>
    <t>3. ADDITIONS TO CONFIRM: Director approval reference and GPS coordinates are not in the approved building field list (see PP-01 notes 3 and 4).</t>
  </si>
  <si>
    <t>4. The Executive Director and Directors have no system access. Physical approvals for property acquisitions and disposals are documented in the hard-copy file and recorded by Properties staff, so no ED / Director signature block appears on these forms.</t>
  </si>
  <si>
    <t>IN-USE PROPERTY OPERATIONAL RECORD</t>
  </si>
  <si>
    <t>Form PP-03  |  Version 1.0  |  Land or buildings classified as In Use  |  Updates approved by the Properties Department Head</t>
  </si>
  <si>
    <t>A. OCCUPANCY AND CONDITION</t>
  </si>
  <si>
    <t>Property Ref. No.</t>
  </si>
  <si>
    <t>PRP-000012</t>
  </si>
  <si>
    <t>Administration building - HQ (example)</t>
  </si>
  <si>
    <t>Building - In Use</t>
  </si>
  <si>
    <t>Occupying Department / Second Unit</t>
  </si>
  <si>
    <t>Administration (HQ)</t>
  </si>
  <si>
    <t>Purpose of Use</t>
  </si>
  <si>
    <t>Administrative office</t>
  </si>
  <si>
    <t>Date Assigned to Current Use</t>
  </si>
  <si>
    <t>Current Condition Status</t>
  </si>
  <si>
    <t>Under Maintenance</t>
  </si>
  <si>
    <t>Last Updated By / On</t>
  </si>
  <si>
    <t>PRP-OFF-01 / 12-Oct-2026</t>
  </si>
  <si>
    <t>B. MAINTENANCE AND RENOVATION HISTORY</t>
  </si>
  <si>
    <t>No.</t>
  </si>
  <si>
    <t>Date</t>
  </si>
  <si>
    <t>Type</t>
  </si>
  <si>
    <t>Description</t>
  </si>
  <si>
    <t>Recorded By</t>
  </si>
  <si>
    <t>Status</t>
  </si>
  <si>
    <t>Maintenance</t>
  </si>
  <si>
    <t>Roof waterproofing repair (example)</t>
  </si>
  <si>
    <t>PRP-OFF-01</t>
  </si>
  <si>
    <t>Completed</t>
  </si>
  <si>
    <t>Renovation</t>
  </si>
  <si>
    <t>Second floor office renovation (example)</t>
  </si>
  <si>
    <t>In progress</t>
  </si>
  <si>
    <t>C. APPROVAL OF CHANGE</t>
  </si>
  <si>
    <t>Change Made</t>
  </si>
  <si>
    <t>Condition: Good -&gt; Under Maintenance</t>
  </si>
  <si>
    <t>UPDATED BY
(Properties Officer)</t>
  </si>
  <si>
    <t>1. Any change in use, occupying department or condition must be entered by the Properties Officer and approved by the Properties Department Head; the history is kept permanently.</t>
  </si>
  <si>
    <t>2. The approved report lists the history as "maintenance or renovation history" without defined fields; date, type, description, recorded-by and status are proposed.</t>
  </si>
  <si>
    <t>TENANCY RECORD (RENTAL PROPERTY)</t>
  </si>
  <si>
    <t>Form PP-04  |  Version 1.0  |  Entered by the Properties Officer; approved by the Properties Department Head</t>
  </si>
  <si>
    <t>A. PROPERTY AND TENANT</t>
  </si>
  <si>
    <t>Tenancy Agreement Ref.</t>
  </si>
  <si>
    <t>TA-2026-014</t>
  </si>
  <si>
    <t>Tenant Name</t>
  </si>
  <si>
    <t>Example Supermarket Co.</t>
  </si>
  <si>
    <t>Tenant Type</t>
  </si>
  <si>
    <t>Commercial - Supermarket</t>
  </si>
  <si>
    <t>Rental Start Date</t>
  </si>
  <si>
    <t>Rental End Date</t>
  </si>
  <si>
    <t>Monthly Rental Amount (AFN)</t>
  </si>
  <si>
    <t>Payment Frequency</t>
  </si>
  <si>
    <t>Monthly</t>
  </si>
  <si>
    <t>B. AUTO-CALCULATED AND PRE-LOADED</t>
  </si>
  <si>
    <t>Contract Duration (months)</t>
  </si>
  <si>
    <t>Total Contract Value (AFN)
Monthly Amount x Duration</t>
  </si>
  <si>
    <t>Months per Payment Period</t>
  </si>
  <si>
    <t>Rent Due per Payment Period (AFN)</t>
  </si>
  <si>
    <t>BRT Rate (see note 2)</t>
  </si>
  <si>
    <t>Bank Account for Rental Receipts</t>
  </si>
  <si>
    <t>Example Bank - Rental Receipts Account (pre-loaded)</t>
  </si>
  <si>
    <t>Tenancy Status</t>
  </si>
  <si>
    <t>Signed tenancy agreement</t>
  </si>
  <si>
    <t>Decision Date</t>
  </si>
  <si>
    <t>1. Mandatory fields per the approved design: tenant name and type, agreement reference, start and end dates, monthly rental amount, payment frequency, tenancy status, signed agreement upload. Total contract value, BRT rate and receipts account are system-supplied.</t>
  </si>
  <si>
    <t>2. The report fixes BRT at 4% on every rental posting. Treat it as a configurable tax parameter (effective-dated), because tax rates change; confirm the current rate and the BRT basis for rent with ARD.</t>
  </si>
  <si>
    <t>3. Rent due dates are generated from the start date and payment frequency (see PP-05). The Properties department acts as credit controller for all tenants (residential, supermarkets, other commercial).</t>
  </si>
  <si>
    <t>RENT DUE OCCURRENCE - AUTOMATIC INCOME AND BRT POSTING</t>
  </si>
  <si>
    <t>Runs automatically on each scheduled due date - accrual basis, regardless of cash received</t>
  </si>
  <si>
    <t>Tenancy Ref.</t>
  </si>
  <si>
    <t>Months per Period</t>
  </si>
  <si>
    <t>BRT Rate (parameter)</t>
  </si>
  <si>
    <t>Rent Due per Period (AFN)</t>
  </si>
  <si>
    <t>Due Date</t>
  </si>
  <si>
    <t>Rent Due (AFN)</t>
  </si>
  <si>
    <t>BRT (AFN)</t>
  </si>
  <si>
    <t>Net Rental Income Recognized (AFN)</t>
  </si>
  <si>
    <t>Entry 1 (auto)</t>
  </si>
  <si>
    <t>Entry 2 (auto)</t>
  </si>
  <si>
    <t>Dr Tenant Receivable / Cr Rental Income</t>
  </si>
  <si>
    <t>Dr BRT Expense / Cr BRT Payable to Government</t>
  </si>
  <si>
    <t>TOTAL (6 periods)</t>
  </si>
  <si>
    <t>After posting the system updates the Tenant Ledger (PP-08), triggers the "Rent Due" notification to the Properties department and adds the BRT to the running BRT Payable to Government balance (PP-10).</t>
  </si>
  <si>
    <t>1. Report example reproduced: rental income AFN 100,000 -&gt; BRT at 4% = AFN 4,000 payable to Government -&gt; net rental income recognized AFN 96,000.</t>
  </si>
  <si>
    <t>2. Rental income and BRT are recognized when the rent becomes due (occurrence), not when cash is received. BRT is an expense account here, not a deduction from the receivable; the Tenant Receivable carries the full rent.</t>
  </si>
  <si>
    <t>3. This is a system-run process: no officer keys anything, so there are no signature blocks. The resulting entries are viewable and printable as vouchers through the standard Finance voucher view.</t>
  </si>
  <si>
    <t>TENANT PAYMENT RECEIPT LOG (FINANCE)</t>
  </si>
  <si>
    <t>Form PP-06  |  Version 1.0  |  Logged by the Finance Officer; posts only after Internal Control verification</t>
  </si>
  <si>
    <t>A. RECEIPT DETAILS</t>
  </si>
  <si>
    <t>Receipt Log No.</t>
  </si>
  <si>
    <t>RCP-2026-000071</t>
  </si>
  <si>
    <t>Date Logged</t>
  </si>
  <si>
    <t>Bank Deposit Slip No.
(physical slip presented)</t>
  </si>
  <si>
    <t>BDS-770412</t>
  </si>
  <si>
    <t>Deposit Date</t>
  </si>
  <si>
    <t>Amount Received (AFN)</t>
  </si>
  <si>
    <t>Rent Period Covered (due date)</t>
  </si>
  <si>
    <t>Tenant Outstanding Balance Before (AFN)</t>
  </si>
  <si>
    <t>Balance After Verification (AFN)</t>
  </si>
  <si>
    <t>Receipt Status</t>
  </si>
  <si>
    <t>Pending IC verification</t>
  </si>
  <si>
    <t>Logged By</t>
  </si>
  <si>
    <t>FIN-OFF-02</t>
  </si>
  <si>
    <t>B. AUTOMATIC POSTING (only after IC verification)</t>
  </si>
  <si>
    <t>Entry</t>
  </si>
  <si>
    <t>Dr Bank Account / Cr Tenant Receivable Account</t>
  </si>
  <si>
    <t>Then</t>
  </si>
  <si>
    <t>Tenant Ledger outstanding balance cleared; active "Rent Overdue" alerts for the tenant cleared; next payment due date reset.</t>
  </si>
  <si>
    <t>LOGGED BY
(Finance Officer)</t>
  </si>
  <si>
    <t>VERIFIED BY
(Internal Control &amp; Audit)</t>
  </si>
  <si>
    <t>1. The tenant pays into the corporate bank account and presents the physical deposit slip to HQ Finance; the Finance Officer logs it against the specific tenant ledger. Nothing posts until Internal Control verifies (PP-07).</t>
  </si>
  <si>
    <t>2. The report also says rental income "confirmed by the Finance Officer in the bank reconciliation module" clears alerts. That overlaps with this IC-gated log for the same deposit - confirm that a tenant deposit is handled by ONE path (see FA-06 / PP-06).</t>
  </si>
  <si>
    <t>3. Name, position and date may be pre-filled by the system from the Control Log; signatures are by hand so the printed form can be archived in the hard file.</t>
  </si>
  <si>
    <t>INTERNAL CONTROL VERIFICATION - TENANT PAYMENT RECEIPT</t>
  </si>
  <si>
    <t>Form PP-07  |  Version 1.0  |  The only mandatory IC gate in the Properties module</t>
  </si>
  <si>
    <t>Verification No.</t>
  </si>
  <si>
    <t>ICV-2026-000441</t>
  </si>
  <si>
    <t>Date Received by IC</t>
  </si>
  <si>
    <t>Amount on Physical Bank Slip (AFN)</t>
  </si>
  <si>
    <t>Amount Recorded in System (AFN)</t>
  </si>
  <si>
    <t>Tenant Ledger Outstanding Balance (AFN)</t>
  </si>
  <si>
    <t>Tenant on Slip Matches Ledger Tenant?</t>
  </si>
  <si>
    <t>Yes</t>
  </si>
  <si>
    <t>VERIFICATION CHECKS (system-assisted)</t>
  </si>
  <si>
    <t>Check</t>
  </si>
  <si>
    <t>Result</t>
  </si>
  <si>
    <t>IC Comment</t>
  </si>
  <si>
    <t>Physical bank deposit slip perfectly matches the receipt recorded in the system</t>
  </si>
  <si>
    <t>Receipt corresponds to the correct tenant's outstanding receivable balance</t>
  </si>
  <si>
    <t>Outcome (system rule)</t>
  </si>
  <si>
    <t>Final Outcome (IC decision)</t>
  </si>
  <si>
    <t>Verified</t>
  </si>
  <si>
    <t>IC Comments
(mandatory if Rejected)</t>
  </si>
  <si>
    <t>If Rejected</t>
  </si>
  <si>
    <t>Notification to Finance and Properties to investigate and correct the entry; the receipt returns for re-verification.</t>
  </si>
  <si>
    <t>If Verified</t>
  </si>
  <si>
    <t>System posts Dr Bank Account / Cr Tenant Receivable; clears the outstanding balance on the Tenant Ledger and the active "Rent Overdue" alerts for that tenant.</t>
  </si>
  <si>
    <t>1. IC has read-only access to all property records, ledgers and BRT computations; it can only Verify or Reject (comments mandatory on rejection). Every outcome is written to the Control Log (FA-18).</t>
  </si>
  <si>
    <t>2. Name, position and date may be pre-filled by the system from the Control Log; signatures are by hand so the printed form can be archived in the hard file.</t>
  </si>
  <si>
    <t>TENANT LEDGER - LIVE CREDIT CONTROL VIEW</t>
  </si>
  <si>
    <t>Running ledger per tenant: receivable, received, outstanding, BRT, overdue count</t>
  </si>
  <si>
    <t>Property Ref. / Tenancy Ref.</t>
  </si>
  <si>
    <t>PRP-000045 / TA-2026-014</t>
  </si>
  <si>
    <t>Report As-of Date</t>
  </si>
  <si>
    <t>BRT Rate</t>
  </si>
  <si>
    <t>Amount Due (AFN)</t>
  </si>
  <si>
    <t>Received Date</t>
  </si>
  <si>
    <t>Status (auto)</t>
  </si>
  <si>
    <t>Open Due Date (helper)</t>
  </si>
  <si>
    <t>LEDGER SUMMARY (auto)</t>
  </si>
  <si>
    <t>Total Rental Receivable to Date (AFN)</t>
  </si>
  <si>
    <t>Total Received from Tenant to Date (AFN)</t>
  </si>
  <si>
    <t>Outstanding Balance (AFN)</t>
  </si>
  <si>
    <t>Total BRT Payable to Date (AFN)</t>
  </si>
  <si>
    <t>Next Payment Due Date</t>
  </si>
  <si>
    <t>Total Remaining Rental Until Contract Expiry (AFN)</t>
  </si>
  <si>
    <t>Number of Payments Received</t>
  </si>
  <si>
    <t>Number of Payments Overdue</t>
  </si>
  <si>
    <t>Last Payment Date</t>
  </si>
  <si>
    <t>1. Ledger fields follow the approved design exactly. Amounts due come from the rent-due occurrences (PP-05); amounts received appear only after IC verification (PP-07).</t>
  </si>
  <si>
    <t>2. Example: 10 periods due to 14-Oct-2026 (AFN 1,000,000), 9 received, October overdue by 13 days. Next payment due date = first unpaid due date.</t>
  </si>
  <si>
    <t>AUTOMATED RENT ALERTS AND TENANT FOLLOW-UP LOG</t>
  </si>
  <si>
    <t>Alert rules are parameters; follow-up log is permanent and visible to the Properties Head and Internal Control</t>
  </si>
  <si>
    <t>A. ALERT RULES (system-generated for every active tenancy)</t>
  </si>
  <si>
    <t>Scheduled Payment Date (example)</t>
  </si>
  <si>
    <t>Contract End Date (example)</t>
  </si>
  <si>
    <t>Alert Type</t>
  </si>
  <si>
    <t>Trigger</t>
  </si>
  <si>
    <t>Recipient</t>
  </si>
  <si>
    <t>Offset (days)</t>
  </si>
  <si>
    <t>Example Trigger Date (auto)</t>
  </si>
  <si>
    <t>Rent Due - Advance Notice</t>
  </si>
  <si>
    <t>5 days before each scheduled rental payment date</t>
  </si>
  <si>
    <t>Properties Dept Head and Properties Officer</t>
  </si>
  <si>
    <t>Rent Due - On Due Date</t>
  </si>
  <si>
    <t>On the scheduled payment date if not yet received</t>
  </si>
  <si>
    <t>Properties Dept Head</t>
  </si>
  <si>
    <t>Rent Overdue</t>
  </si>
  <si>
    <t>Day after due date if payment not confirmed in system</t>
  </si>
  <si>
    <t>Escalating Overdue Alert</t>
  </si>
  <si>
    <t>Every 7 days while payment remains outstanding (first repeat shown)</t>
  </si>
  <si>
    <t>Tenancy Expiry - Advance Notice</t>
  </si>
  <si>
    <t>60 days before contract end date</t>
  </si>
  <si>
    <t>Tenancy Expiry - Final Notice</t>
  </si>
  <si>
    <t>14 days before contract end date</t>
  </si>
  <si>
    <t>When the Finance Officer confirms the rent (PP-06 / PP-07) the system clears the relevant alert, updates the Tenant Ledger and resets the next payment due date counter. Unconfirmed payments keep the overdue alert active and escalating.</t>
  </si>
  <si>
    <t>B. TENANT FOLLOW-UP LOG (logged by Properties Officer against an overdue alert)</t>
  </si>
  <si>
    <t>Date of Follow-Up</t>
  </si>
  <si>
    <t>Tenant / Alert Reference</t>
  </si>
  <si>
    <t>Method of Contact</t>
  </si>
  <si>
    <t>Tenant's Response</t>
  </si>
  <si>
    <t>Example Supermarket Co. / Rent Overdue Oct-2026</t>
  </si>
  <si>
    <t>Phone call</t>
  </si>
  <si>
    <t>Promised payment within the week (example).</t>
  </si>
  <si>
    <t>Example Supermarket Co. / Escalating Overdue</t>
  </si>
  <si>
    <t>Letter</t>
  </si>
  <si>
    <t>No response yet (example).</t>
  </si>
  <si>
    <t>In-person visit</t>
  </si>
  <si>
    <t>Payment made 13-Oct; slip given to Finance (example).</t>
  </si>
  <si>
    <t>1. Alert types, triggers and recipients are exactly as approved; the offsets (5, 1, 7, 60, 14 days) must be editable parameters. Rent due 5 days before goes to both the Head and the Officer; all others to the Head.</t>
  </si>
  <si>
    <t>2. The follow-up log records date, method of contact (phone call, letter, in-person visit) and the tenant's response; it can never be edited or deleted and is visible to the Properties Head and Internal Control at all times.</t>
  </si>
  <si>
    <t>BRT PAYABLE TO GOVERNMENT LEDGER</t>
  </si>
  <si>
    <t>Running balance of the Business Receipts Tax liability - Finance remits to ARD; Properties records the liability</t>
  </si>
  <si>
    <t>Scope (example)</t>
  </si>
  <si>
    <t>Single tenancy TA-2026-014 (all tenancies in live use)</t>
  </si>
  <si>
    <t>Period</t>
  </si>
  <si>
    <t>Rental Income Due (AFN)</t>
  </si>
  <si>
    <t>BRT Accrued (AFN)</t>
  </si>
  <si>
    <t>BRT Remitted to ARD (AFN)</t>
  </si>
  <si>
    <t>Running Balance Payable (AFN)</t>
  </si>
  <si>
    <t>Remittance Reference</t>
  </si>
  <si>
    <t>Note</t>
  </si>
  <si>
    <t>PV-000088</t>
  </si>
  <si>
    <t>Q1 remittance (example)</t>
  </si>
  <si>
    <t>PV-000109</t>
  </si>
  <si>
    <t>Q2 remittance (example)</t>
  </si>
  <si>
    <t>TOTAL</t>
  </si>
  <si>
    <t>1. BRT is accrued on each rent due date (Dr BRT Expense / Cr BRT Payable to Government) and remitted by Finance (Dr BRT Payable / Cr Bank Account) through a Payment Voucher (FA-01).</t>
  </si>
  <si>
    <t>2. The running balance gives the total tax liability due to the Government at any time across all rental properties and periods; the Finance department reviews it for timely remittance to ARD. Remittance dates are examples.</t>
  </si>
  <si>
    <t>PROPERTY DISPOSAL / WRITE-OFF RECORD</t>
  </si>
  <si>
    <t>Form PP-11  |  Version 1.0  |  Supporting form for the "Property disposed or written off" entry</t>
  </si>
  <si>
    <t>A. PROPERTY AND DISPOSAL DETAILS</t>
  </si>
  <si>
    <t>Disposal Record No.</t>
  </si>
  <si>
    <t>DSP-2026-000004</t>
  </si>
  <si>
    <t>Old storage shed - Second Unit A (example)</t>
  </si>
  <si>
    <t>Date of Disposal / Write-Off</t>
  </si>
  <si>
    <t>Reason</t>
  </si>
  <si>
    <t>Demolished - structurally unsafe (example)</t>
  </si>
  <si>
    <t>Director Physical Approval Ref.</t>
  </si>
  <si>
    <t>DIR-DSP-2026-0021</t>
  </si>
  <si>
    <t>B. CARRYING AMOUNT AND LOSS</t>
  </si>
  <si>
    <t>Asset Cost (AFN)</t>
  </si>
  <si>
    <t>Accumulated Depreciation (AFN)</t>
  </si>
  <si>
    <t>Net Book Value (AFN)</t>
  </si>
  <si>
    <t>Disposal Proceeds (AFN) - see note 2</t>
  </si>
  <si>
    <t>Loss on Disposal (AFN)</t>
  </si>
  <si>
    <t>Entry Check</t>
  </si>
  <si>
    <t>Automatic Entry</t>
  </si>
  <si>
    <t>Dr Accumulated Depreciation + Dr Loss on Disposal Account / Cr Building or Land Asset Account</t>
  </si>
  <si>
    <t>1. Supporting form: the approved report has the accounting entry for a disposed / written-off property and says no property is disposed of without the complete approval chain, but defines no disposal form. Fields here are derived from the entry.</t>
  </si>
  <si>
    <t>2. The approved entry has no Bank / proceeds line. A sale for cash would need Dr Bank and a gain-or-loss calculation; confirm the treatment before development. Proceeds must stay 0 until then.</t>
  </si>
  <si>
    <t>3. Accumulated depreciation is read from the Inventory-managed depreciation records; land has none (rate locked at zero).</t>
  </si>
  <si>
    <t>PROPERTY REVALUATION / IMPAIRMENT RECORD</t>
  </si>
  <si>
    <t>Form PP-12  |  Version 1.0  |  Posting requires Finance Department Head AND Internal Control approval</t>
  </si>
  <si>
    <t>A. DETAILS</t>
  </si>
  <si>
    <t>Record No.</t>
  </si>
  <si>
    <t>RVI-2026-000003</t>
  </si>
  <si>
    <t>Impairment</t>
  </si>
  <si>
    <t>Valuation / Assessment Report Ref.</t>
  </si>
  <si>
    <t>VAL-2026-017</t>
  </si>
  <si>
    <t>Carrying Amount (AFN)</t>
  </si>
  <si>
    <t>Revalued / Recoverable Amount (AFN)</t>
  </si>
  <si>
    <t>Difference (AFN)</t>
  </si>
  <si>
    <t>Direction</t>
  </si>
  <si>
    <t>Supporting Documentation</t>
  </si>
  <si>
    <t>Independent valuation report; condition assessment (file upload). EXAMPLE DATA.</t>
  </si>
  <si>
    <t>B. APPROVAL BEFORE POSTING</t>
  </si>
  <si>
    <t>Finance Dept Head Decision</t>
  </si>
  <si>
    <t>IC Decision</t>
  </si>
  <si>
    <t>Posting Gate</t>
  </si>
  <si>
    <t>REVIEWED BY
(Properties Dept Head)</t>
  </si>
  <si>
    <t>APPROVED BY
(Finance Dept Head)</t>
  </si>
  <si>
    <t>1. Per IAS 16 compliance statement: any revaluation or impairment is recorded with supporting documentation and is subject to Finance Department Head and Internal Control approval BEFORE posting.</t>
  </si>
  <si>
    <t>2. The approved report gives NO accounting entry for revaluation or impairment and does not state the measurement model (cost vs revaluation under IAS 16; cost vs fair value under IAS 40 for rental properties). Confirm both before development.</t>
  </si>
  <si>
    <t>NEW PROPERTY CLASS REQUEST</t>
  </si>
  <si>
    <t>Form PP-13  |  Version 1.0  |  Properties Department Head proposes; Finance Department Head approves</t>
  </si>
  <si>
    <t>Request No.</t>
  </si>
  <si>
    <t>PCR-2026-000002</t>
  </si>
  <si>
    <t>Date Requested</t>
  </si>
  <si>
    <t>Proposed Class Name</t>
  </si>
  <si>
    <t>Land - Under Development</t>
  </si>
  <si>
    <t>Base Type</t>
  </si>
  <si>
    <t>Land</t>
  </si>
  <si>
    <t>Description / Purpose</t>
  </si>
  <si>
    <t>Land held for planned market development (example).</t>
  </si>
  <si>
    <t>Proposed Asset Account (Chart of Accounts)</t>
  </si>
  <si>
    <t>1520 - Land Under Development (example)</t>
  </si>
  <si>
    <t>Proposed Accumulated Depreciation Account</t>
  </si>
  <si>
    <t>None - non-depreciable</t>
  </si>
  <si>
    <t>Reason (recorded if Rejected)</t>
  </si>
  <si>
    <t>REQUESTED BY
(Properties Department Head)</t>
  </si>
  <si>
    <t>APPROVED BY
(Finance Department Head)</t>
  </si>
  <si>
    <t>1. The four standard classes are Land - In Use, Land - Rental, Building - In Use, Building - Rental. New classes need Finance Head approval so the chart of accounts stays aligned.</t>
  </si>
  <si>
    <t>FULL PROPERTY ASSET REGISTER</t>
  </si>
  <si>
    <t>Report layout - answers the "no centralized property value database" pain point</t>
  </si>
  <si>
    <t>Date Range</t>
  </si>
  <si>
    <t>01-Jan-2015 to 14-Oct-2026</t>
  </si>
  <si>
    <t>Generated On / By</t>
  </si>
  <si>
    <t>14-Oct-2026 10:15 / PRP-HEAD-01</t>
  </si>
  <si>
    <t>Property Ref.</t>
  </si>
  <si>
    <t>Name / Description</t>
  </si>
  <si>
    <t>Location</t>
  </si>
  <si>
    <t>Second Unit</t>
  </si>
  <si>
    <t>Area (sq m)</t>
  </si>
  <si>
    <t>Date Acquired</t>
  </si>
  <si>
    <t>Title Deed Ref.</t>
  </si>
  <si>
    <t>Administration building - HQ</t>
  </si>
  <si>
    <t>TD-2012-0044</t>
  </si>
  <si>
    <t>Orchard land - North Block</t>
  </si>
  <si>
    <t>Example address, Parwan</t>
  </si>
  <si>
    <t>Commercial building - Market Block A</t>
  </si>
  <si>
    <t>PRP-000052</t>
  </si>
  <si>
    <t>Mine site land - Second Unit A</t>
  </si>
  <si>
    <t>Land - In Use</t>
  </si>
  <si>
    <t>Example address, Baghlan</t>
  </si>
  <si>
    <t>Second Unit A</t>
  </si>
  <si>
    <t>In Use</t>
  </si>
  <si>
    <t>TD-2010-0007</t>
  </si>
  <si>
    <t>PRP-000058</t>
  </si>
  <si>
    <t>Staff residential block</t>
  </si>
  <si>
    <t>TD-2018-0233</t>
  </si>
  <si>
    <t>SUMMARY BY CLASSIFICATION</t>
  </si>
  <si>
    <t>Count</t>
  </si>
  <si>
    <t>1. The register gives one searchable list of every property with classification, location, area, cost and status; filters per classification (Land - In Use, Land - Rental, Building - In Use, Building - Rental) and date range.</t>
  </si>
  <si>
    <t>2. Current monetary value (net book value) can be added once the Inventory-managed depreciation is linked; GPS coordinates (PP-01 / PP-02 addition) would appear here too. Figures are illustrative.</t>
  </si>
  <si>
    <t>OFFICER CORRECTION REQUEST - PROPERTIES</t>
  </si>
  <si>
    <t>Form PP-15  |  Version 1.0  |  Same standard form as FA-11, module set to Properties</t>
  </si>
  <si>
    <t>A. REQUEST (raised by Properties Officer)</t>
  </si>
  <si>
    <t>CR-2026-000066</t>
  </si>
  <si>
    <t>Date Raised</t>
  </si>
  <si>
    <t>Module</t>
  </si>
  <si>
    <t>Properties</t>
  </si>
  <si>
    <t>Second Unit / HQ</t>
  </si>
  <si>
    <t>Entry Type</t>
  </si>
  <si>
    <t>Tenancy Record</t>
  </si>
  <si>
    <t>Entry Reference</t>
  </si>
  <si>
    <t>Raised By (Officer)</t>
  </si>
  <si>
    <t>Entry Status at Request</t>
  </si>
  <si>
    <t>Submitted - before finalization</t>
  </si>
  <si>
    <t>Description of Error</t>
  </si>
  <si>
    <t>Rental end date entered as 31-Dec-2025; agreement states 31-Dec-2026. EXAMPLE DATA.</t>
  </si>
  <si>
    <t>Required Correction</t>
  </si>
  <si>
    <t>Change Rental End Date to 31-Dec-2026.</t>
  </si>
  <si>
    <t>Justification</t>
  </si>
  <si>
    <t>Signed agreement TA-2026-014 clause 3.</t>
  </si>
  <si>
    <t>B. PROPERTIES DEPARTMENT HEAD DECISION (notified automatically on submission)</t>
  </si>
  <si>
    <t>Decision</t>
  </si>
  <si>
    <t>Decision Date / Time</t>
  </si>
  <si>
    <t>Entry Unlocked</t>
  </si>
  <si>
    <t>Yes - Officer notified automatically</t>
  </si>
  <si>
    <t>Corrected Entry Ref.</t>
  </si>
  <si>
    <t>TA-2026-014 (rev. 2)</t>
  </si>
  <si>
    <t>C. CONTROL LOG - PERMANENTLY RECORDED AND VISIBLE TO INTERNAL CONTROL</t>
  </si>
  <si>
    <t>Original entry</t>
  </si>
  <si>
    <t>Recorded</t>
  </si>
  <si>
    <t>Correction request</t>
  </si>
  <si>
    <t>Department Head decision</t>
  </si>
  <si>
    <t>Corrected entry</t>
  </si>
  <si>
    <t>REQUESTED BY
(Properties Officer)</t>
  </si>
  <si>
    <t>DECIDED BY
(Properties Department Head)</t>
  </si>
  <si>
    <t>1. Applies to submitted records before finalization. The Officer can never modify or delete a submitted entry directly. An IC rejection of a tenant receipt follows the Finance/Properties correction loop in PP-07. Every step is written to the Control Log (layout FA-18).</t>
  </si>
  <si>
    <t>PROPERTIES APPROVAL AND VERIFICATION MATRIX</t>
  </si>
  <si>
    <t>Who prepares, approves and verifies each form; the Executive Director has no system role</t>
  </si>
  <si>
    <t>Form</t>
  </si>
  <si>
    <t>Initiated / Prepared By</t>
  </si>
  <si>
    <t>Department Head Action</t>
  </si>
  <si>
    <t>ED / Director (physical, outside system)</t>
  </si>
  <si>
    <t>Other Role</t>
  </si>
  <si>
    <t>Internal Control (read-only)</t>
  </si>
  <si>
    <t>Automatic System Action</t>
  </si>
  <si>
    <t>PP-01 / PP-02 Registration</t>
  </si>
  <si>
    <t>Properties Officer (uploads title deeds)</t>
  </si>
  <si>
    <t>Properties Head reviews and approves; record becomes Active</t>
  </si>
  <si>
    <t>Acquisition approval kept in hard file, recorded by staff</t>
  </si>
  <si>
    <t>Inventory Dept Head assigns building depreciation rate</t>
  </si>
  <si>
    <t>Read-only</t>
  </si>
  <si>
    <t>Dr Land / Building Asset / Cr Accounts Payable or Bank; notifies Inventory (buildings)</t>
  </si>
  <si>
    <t>PP-03 In-Use Record</t>
  </si>
  <si>
    <t>Properties Officer updates</t>
  </si>
  <si>
    <t>Properties Head approves changes</t>
  </si>
  <si>
    <t>None</t>
  </si>
  <si>
    <t>History kept permanently</t>
  </si>
  <si>
    <t>Properties Officer</t>
  </si>
  <si>
    <t>Properties Head approves</t>
  </si>
  <si>
    <t>Calculates contract value; applies 4% BRT; schedules rent due dates</t>
  </si>
  <si>
    <t>PP-05 Rent Due Posting</t>
  </si>
  <si>
    <t>System (scheduled)</t>
  </si>
  <si>
    <t>Receives Rent Due notification</t>
  </si>
  <si>
    <t>Dr Tenant Receivable / Cr Rental Income; Dr BRT Expense / Cr BRT Payable</t>
  </si>
  <si>
    <t>PP-06 / PP-07 Tenant Receipt</t>
  </si>
  <si>
    <t>Finance Officer logs deposit slip</t>
  </si>
  <si>
    <t>Finance Head informed on rejection</t>
  </si>
  <si>
    <t>Mandatory Verify or Reject</t>
  </si>
  <si>
    <t>On verification: Dr Bank / Cr Tenant Receivable; clears ledger balance and alerts</t>
  </si>
  <si>
    <t>System alerts; Properties Officer logs follow-up</t>
  </si>
  <si>
    <t>Receives all alerts</t>
  </si>
  <si>
    <t>Sees follow-up log</t>
  </si>
  <si>
    <t>Escalates every 7 days until resolved</t>
  </si>
  <si>
    <t>PP-10 BRT Ledger</t>
  </si>
  <si>
    <t>System</t>
  </si>
  <si>
    <t>Finance remits BRT to ARD (Dr BRT Payable / Cr Bank)</t>
  </si>
  <si>
    <t>Running BRT balance</t>
  </si>
  <si>
    <t>PP-11 Disposal</t>
  </si>
  <si>
    <t>Properties Head authorizes status change</t>
  </si>
  <si>
    <t>Disposal approval kept in hard file, recorded by staff</t>
  </si>
  <si>
    <t>Finance Head read-only</t>
  </si>
  <si>
    <t>Dr Accumulated Depreciation + Loss / Cr Asset</t>
  </si>
  <si>
    <t>PP-12 Revaluation / Impairment</t>
  </si>
  <si>
    <t>Properties Head reviews</t>
  </si>
  <si>
    <t>Finance Dept Head approves</t>
  </si>
  <si>
    <t>Approves before posting</t>
  </si>
  <si>
    <t>Posting blocked until both approvals</t>
  </si>
  <si>
    <t>Requests new class</t>
  </si>
  <si>
    <t>Adds class and chart-of-accounts mapping</t>
  </si>
  <si>
    <t>Approves / rejects; unlocks if approved</t>
  </si>
  <si>
    <t>Sees full trail in Control Log</t>
  </si>
  <si>
    <t>Notifies Officer on unlock; logs every step</t>
  </si>
  <si>
    <t>ACCOUNTING ENTRIES - DEVELOPER REFERENCE (PROPERTIES)</t>
  </si>
  <si>
    <t>Posted automatically in the background - no manual input from Finance staff</t>
  </si>
  <si>
    <t>#</t>
  </si>
  <si>
    <t>Trigger Event</t>
  </si>
  <si>
    <t>Debit</t>
  </si>
  <si>
    <t>Credit</t>
  </si>
  <si>
    <t>Posting Basis / Related Form</t>
  </si>
  <si>
    <t>New building asset registered and approved</t>
  </si>
  <si>
    <t>Building Asset Account</t>
  </si>
  <si>
    <t>Accounts Payable / Bank Account</t>
  </si>
  <si>
    <t>On Head approval (PP-02)</t>
  </si>
  <si>
    <t>New land asset registered and approved</t>
  </si>
  <si>
    <t>Land Asset Account</t>
  </si>
  <si>
    <t>On Head approval (PP-01); land depreciation: no entry (rate locked at 0%)</t>
  </si>
  <si>
    <t>Monthly depreciation on buildings (auto-posted)</t>
  </si>
  <si>
    <t>Depreciation Expense</t>
  </si>
  <si>
    <t>Accumulated Depreciation - Buildings</t>
  </si>
  <si>
    <t>Automatic monthly at the rate set by the Inventory department</t>
  </si>
  <si>
    <t>Rental period occurs (rent becomes due)</t>
  </si>
  <si>
    <t>Tenant Receivable Account</t>
  </si>
  <si>
    <t>Rental Income Account</t>
  </si>
  <si>
    <t>Scheduled due date (PP-05)</t>
  </si>
  <si>
    <t>BRT computation on rental occurrence</t>
  </si>
  <si>
    <t>BRT Expense Account</t>
  </si>
  <si>
    <t>BRT Payable to Government Account</t>
  </si>
  <si>
    <t>Scheduled due date, at the BRT rate (PP-05)</t>
  </si>
  <si>
    <t>Tenant payment receipt (after IC verification)</t>
  </si>
  <si>
    <t>Bank Account</t>
  </si>
  <si>
    <t>After IC verification (PP-06, PP-07)</t>
  </si>
  <si>
    <t>BRT remitted to Government by Finance</t>
  </si>
  <si>
    <t>Finance Payment Voucher (FA-01, PP-10)</t>
  </si>
  <si>
    <t>Property disposed or written off</t>
  </si>
  <si>
    <t>Accumulated Depreciation + Loss on Disposal Account</t>
  </si>
  <si>
    <t>Building / Land Asset Account</t>
  </si>
  <si>
    <t>After approval chain (PP-11)</t>
  </si>
  <si>
    <t>1. The approved report names the receivable "Tenant Receivable Account" in the developer table but "Rental Income Receivable Account" in the Finance-link table. Use ONE account (Tenant Receivable shown here).</t>
  </si>
  <si>
    <t>2. The report cites IAS 40 for recognizing rental income; lessor rental income is normally governed by IFRS 16 (operating lease), and IAS 40 requires a cost-or-fair-value choice for investment property. Confirm the accounting policy before development.</t>
  </si>
  <si>
    <t>REQUIRED REPORTS - PROPERTIES</t>
  </si>
  <si>
    <t>All reports use the standard header/footer shown in FA-16</t>
  </si>
  <si>
    <t>Report</t>
  </si>
  <si>
    <t>Frequency</t>
  </si>
  <si>
    <t>Filter Options</t>
  </si>
  <si>
    <t>Export</t>
  </si>
  <si>
    <t>Full Property Asset Register</t>
  </si>
  <si>
    <t>On demand</t>
  </si>
  <si>
    <t>Custom date range; per classification (Land In Use, Land Rental, Building In Use, Building Rental)</t>
  </si>
  <si>
    <t>PDF + Excel</t>
  </si>
  <si>
    <t>In-Use Property Report</t>
  </si>
  <si>
    <t>Custom date range; per department, per Second Unit</t>
  </si>
  <si>
    <t>Tenant Ledger Report</t>
  </si>
  <si>
    <t>Custom date range; per tenant, per property - total receivable, total received, outstanding balance</t>
  </si>
  <si>
    <t>Rental Occurrence &amp; Collection Summary</t>
  </si>
  <si>
    <t>Custom date range; total rent billed vs total received per period</t>
  </si>
  <si>
    <t>Outstanding Rental Balance Report</t>
  </si>
  <si>
    <t>On demand / Real-time</t>
  </si>
  <si>
    <t>Custom date range; sorted by overdue duration</t>
  </si>
  <si>
    <t>Rent Due / Overdue Alerts Report</t>
  </si>
  <si>
    <t>Custom date range; all active alerts</t>
  </si>
  <si>
    <t>Tenant Follow-Up Log Report</t>
  </si>
  <si>
    <t>Custom date range; per tenant (actions and outcomes)</t>
  </si>
  <si>
    <t>Tenancy Expiry Report</t>
  </si>
  <si>
    <t>Custom date range; expiring within a defined period</t>
  </si>
  <si>
    <t>BRT Summary Report</t>
  </si>
  <si>
    <t>Custom date range; total BRT accrued per period</t>
  </si>
  <si>
    <t>BRT Payable to Government Ledger</t>
  </si>
  <si>
    <t>Custom date range; running balance of outstanding BRT obligations</t>
  </si>
  <si>
    <t>Internal Control Verification Report</t>
  </si>
  <si>
    <t>Custom date range; by verification outcome (Verified / Rejected)</t>
  </si>
  <si>
    <t>Control Log / Audit Trail Report</t>
  </si>
  <si>
    <t>Custom date range; by user, action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</si>
</sst>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yy"/>
    <numFmt numFmtId="165" formatCode="#,##0.00;\(#,##0.00\);\-"/>
    <numFmt numFmtId="166" formatCode="0.0%"/>
    <numFmt numFmtId="167" formatCode="mmm\ yyyy"/>
    <numFmt numFmtId="168" formatCode="dd\-mmm\-yyyy\ hh:mm"/>
  </numFmts>
  <fonts count="14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b/>
      <sz val="13"/>
      <color rgb="FF000000"/>
      <name val="Arial"/>
      <charset val="1"/>
    </font>
    <font>
      <i/>
      <sz val="9"/>
      <color rgb="FF000000"/>
      <name val="Arial"/>
      <charset val="1"/>
    </font>
    <font>
      <b/>
      <sz val="10"/>
      <color rgb="FF000000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i/>
      <sz val="10"/>
      <color rgb="FF7F7F7F"/>
      <name val="Arial"/>
      <charset val="1"/>
    </font>
    <font>
      <sz val="10"/>
      <color rgb="FFFFFFFF"/>
      <name val="Arial"/>
      <charset val="1"/>
    </font>
    <font>
      <b/>
      <sz val="10"/>
      <color rgb="FFFFFFFF"/>
      <name val="Arial"/>
      <charset val="1"/>
    </font>
    <font>
      <u/>
      <sz val="10"/>
      <color rgb="FF0563C1"/>
      <name val="Arial"/>
      <charset val="1"/>
    </font>
    <font>
      <sz val="9"/>
      <color rgb="FF000000"/>
      <name val="Arial"/>
      <charset val="1"/>
    </font>
    <font>
      <b/>
      <sz val="14"/>
      <color rgb="FF1F3864"/>
      <name val="Arial"/>
      <charset val="1"/>
    </font>
    <font>
      <b/>
      <sz val="9"/>
      <color rgb="FFFFFFFF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E7E6E6"/>
      </patternFill>
    </fill>
    <fill>
      <patternFill patternType="solid">
        <fgColor rgb="FFFFF2CC"/>
        <bgColor rgb="FFF2F2F2"/>
      </patternFill>
    </fill>
    <fill>
      <patternFill patternType="solid">
        <fgColor rgb="FFE7E6E6"/>
        <bgColor rgb="FFD9E1F2"/>
      </patternFill>
    </fill>
    <fill>
      <patternFill patternType="solid">
        <fgColor rgb="FFF2F2F2"/>
        <bgColor rgb="FFE7E6E6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5" fillId="3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left" vertical="center" wrapText="1"/>
    </xf>
    <xf numFmtId="164" fontId="5" fillId="3" borderId="1" xfId="0" applyNumberFormat="1" applyFont="1" applyFill="1" applyBorder="1" applyAlignment="1">
      <alignment horizontal="left" vertical="center" wrapText="1"/>
    </xf>
    <xf numFmtId="165" fontId="5" fillId="3" borderId="1" xfId="0" applyNumberFormat="1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166" fontId="6" fillId="4" borderId="1" xfId="0" applyNumberFormat="1" applyFont="1" applyFill="1" applyBorder="1" applyAlignment="1">
      <alignment horizontal="left" vertical="center" wrapText="1"/>
    </xf>
    <xf numFmtId="164" fontId="6" fillId="4" borderId="1" xfId="0" applyNumberFormat="1" applyFont="1" applyFill="1" applyBorder="1" applyAlignment="1">
      <alignment horizontal="left" vertical="center" wrapText="1"/>
    </xf>
    <xf numFmtId="165" fontId="6" fillId="4" borderId="1" xfId="0" applyNumberFormat="1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left" vertical="center" wrapText="1"/>
    </xf>
    <xf numFmtId="164" fontId="6" fillId="0" borderId="1" xfId="0" applyNumberFormat="1" applyFont="1" applyBorder="1" applyAlignment="1">
      <alignment horizontal="left" vertical="center" wrapText="1"/>
    </xf>
    <xf numFmtId="166" fontId="5" fillId="3" borderId="1" xfId="0" applyNumberFormat="1" applyFont="1" applyFill="1" applyBorder="1" applyAlignment="1">
      <alignment horizontal="left" vertical="center" wrapText="1"/>
    </xf>
    <xf numFmtId="167" fontId="5" fillId="3" borderId="1" xfId="0" applyNumberFormat="1" applyFont="1" applyFill="1" applyBorder="1" applyAlignment="1">
      <alignment horizontal="left" vertical="center" wrapText="1"/>
    </xf>
    <xf numFmtId="167" fontId="6" fillId="0" borderId="1" xfId="0" applyNumberFormat="1" applyFont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left" vertical="center" wrapText="1"/>
    </xf>
    <xf numFmtId="3" fontId="4" fillId="2" borderId="1" xfId="0" applyNumberFormat="1" applyFont="1" applyFill="1" applyBorder="1" applyAlignment="1">
      <alignment horizontal="left" vertical="center" wrapText="1"/>
    </xf>
    <xf numFmtId="164" fontId="5" fillId="3" borderId="1" xfId="0" applyNumberFormat="1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166" fontId="6" fillId="4" borderId="1" xfId="0" applyNumberFormat="1" applyFont="1" applyFill="1" applyBorder="1" applyAlignment="1">
      <alignment horizontal="left" vertical="center" wrapText="1"/>
    </xf>
    <xf numFmtId="164" fontId="6" fillId="4" borderId="1" xfId="0" applyNumberFormat="1" applyFont="1" applyFill="1" applyBorder="1" applyAlignment="1">
      <alignment horizontal="left" vertical="center" wrapText="1"/>
    </xf>
    <xf numFmtId="165" fontId="6" fillId="4" borderId="1" xfId="0" applyNumberFormat="1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65" fontId="5" fillId="3" borderId="1" xfId="0" applyNumberFormat="1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168" fontId="6" fillId="4" borderId="1" xfId="0" applyNumberFormat="1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F2F2F2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North_Coal_ERP_Properties_Forms.xlsx" TargetMode="External"/><Relationship Id="rId13" Type="http://schemas.openxmlformats.org/officeDocument/2006/relationships/hyperlink" Target="North_Coal_ERP_Properties_Forms.xlsx" TargetMode="External"/><Relationship Id="rId18" Type="http://schemas.openxmlformats.org/officeDocument/2006/relationships/hyperlink" Target="North_Coal_ERP_Properties_Forms.xlsx" TargetMode="External"/><Relationship Id="rId3" Type="http://schemas.openxmlformats.org/officeDocument/2006/relationships/hyperlink" Target="North_Coal_ERP_Properties_Forms.xlsx" TargetMode="External"/><Relationship Id="rId7" Type="http://schemas.openxmlformats.org/officeDocument/2006/relationships/hyperlink" Target="North_Coal_ERP_Properties_Forms.xlsx" TargetMode="External"/><Relationship Id="rId12" Type="http://schemas.openxmlformats.org/officeDocument/2006/relationships/hyperlink" Target="North_Coal_ERP_Properties_Forms.xlsx" TargetMode="External"/><Relationship Id="rId17" Type="http://schemas.openxmlformats.org/officeDocument/2006/relationships/hyperlink" Target="North_Coal_ERP_Properties_Forms.xlsx" TargetMode="External"/><Relationship Id="rId2" Type="http://schemas.openxmlformats.org/officeDocument/2006/relationships/hyperlink" Target="North_Coal_ERP_Properties_Forms.xlsx" TargetMode="External"/><Relationship Id="rId16" Type="http://schemas.openxmlformats.org/officeDocument/2006/relationships/hyperlink" Target="North_Coal_ERP_Properties_Forms.xlsx" TargetMode="External"/><Relationship Id="rId1" Type="http://schemas.openxmlformats.org/officeDocument/2006/relationships/hyperlink" Target="North_Coal_ERP_Properties_Forms.xlsx" TargetMode="External"/><Relationship Id="rId6" Type="http://schemas.openxmlformats.org/officeDocument/2006/relationships/hyperlink" Target="North_Coal_ERP_Properties_Forms.xlsx" TargetMode="External"/><Relationship Id="rId11" Type="http://schemas.openxmlformats.org/officeDocument/2006/relationships/hyperlink" Target="North_Coal_ERP_Properties_Forms.xlsx" TargetMode="External"/><Relationship Id="rId5" Type="http://schemas.openxmlformats.org/officeDocument/2006/relationships/hyperlink" Target="North_Coal_ERP_Properties_Forms.xlsx" TargetMode="External"/><Relationship Id="rId15" Type="http://schemas.openxmlformats.org/officeDocument/2006/relationships/hyperlink" Target="North_Coal_ERP_Properties_Forms.xlsx" TargetMode="External"/><Relationship Id="rId10" Type="http://schemas.openxmlformats.org/officeDocument/2006/relationships/hyperlink" Target="North_Coal_ERP_Properties_Forms.xlsx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North_Coal_ERP_Properties_Forms.xlsx" TargetMode="External"/><Relationship Id="rId9" Type="http://schemas.openxmlformats.org/officeDocument/2006/relationships/hyperlink" Target="North_Coal_ERP_Properties_Forms.xlsx" TargetMode="External"/><Relationship Id="rId14" Type="http://schemas.openxmlformats.org/officeDocument/2006/relationships/hyperlink" Target="North_Coal_ERP_Properties_Form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D38"/>
  <sheetViews>
    <sheetView showGridLines="0" tabSelected="1" zoomScaleNormal="100" workbookViewId="0">
      <selection sqref="A1:D1"/>
    </sheetView>
  </sheetViews>
  <sheetFormatPr defaultColWidth="8.68359375" defaultRowHeight="14.4" x14ac:dyDescent="0.55000000000000004"/>
  <cols>
    <col min="1" max="1" width="12" customWidth="1"/>
    <col min="2" max="2" width="34" customWidth="1"/>
    <col min="3" max="3" width="86" customWidth="1"/>
    <col min="4" max="4" width="30" customWidth="1"/>
  </cols>
  <sheetData>
    <row r="1" spans="1:4" ht="18" customHeight="1" x14ac:dyDescent="0.55000000000000004">
      <c r="A1" s="12" t="s">
        <v>0</v>
      </c>
      <c r="B1" s="12"/>
      <c r="C1" s="12"/>
      <c r="D1" s="12"/>
    </row>
    <row r="2" spans="1:4" ht="18" customHeight="1" x14ac:dyDescent="0.55000000000000004">
      <c r="A2" s="11" t="s">
        <v>1</v>
      </c>
      <c r="B2" s="11"/>
      <c r="C2" s="11"/>
      <c r="D2" s="11"/>
    </row>
    <row r="3" spans="1:4" ht="18" customHeight="1" x14ac:dyDescent="0.55000000000000004">
      <c r="A3" s="10" t="s">
        <v>2</v>
      </c>
      <c r="B3" s="10"/>
      <c r="C3" s="10"/>
      <c r="D3" s="10"/>
    </row>
    <row r="5" spans="1:4" ht="18" customHeight="1" x14ac:dyDescent="0.55000000000000004">
      <c r="A5" s="9" t="s">
        <v>3</v>
      </c>
      <c r="B5" s="9"/>
      <c r="C5" s="9"/>
      <c r="D5" s="9"/>
    </row>
    <row r="6" spans="1:4" ht="18" customHeight="1" x14ac:dyDescent="0.55000000000000004">
      <c r="A6" s="14" t="s">
        <v>4</v>
      </c>
      <c r="B6" s="8" t="s">
        <v>5</v>
      </c>
      <c r="C6" s="8"/>
      <c r="D6" s="8"/>
    </row>
    <row r="7" spans="1:4" ht="18" customHeight="1" x14ac:dyDescent="0.55000000000000004">
      <c r="A7" s="16" t="s">
        <v>6</v>
      </c>
      <c r="B7" s="8" t="s">
        <v>7</v>
      </c>
      <c r="C7" s="8"/>
      <c r="D7" s="8"/>
    </row>
    <row r="8" spans="1:4" ht="18" customHeight="1" x14ac:dyDescent="0.55000000000000004">
      <c r="A8" s="17" t="s">
        <v>8</v>
      </c>
      <c r="B8" s="8" t="s">
        <v>9</v>
      </c>
      <c r="C8" s="8"/>
      <c r="D8" s="8"/>
    </row>
    <row r="9" spans="1:4" ht="18" customHeight="1" x14ac:dyDescent="0.55000000000000004">
      <c r="A9" s="18" t="s">
        <v>10</v>
      </c>
      <c r="B9" s="8" t="s">
        <v>11</v>
      </c>
      <c r="C9" s="8"/>
      <c r="D9" s="8"/>
    </row>
    <row r="11" spans="1:4" ht="24" customHeight="1" x14ac:dyDescent="0.55000000000000004">
      <c r="A11" s="19" t="s">
        <v>12</v>
      </c>
      <c r="B11" s="19" t="s">
        <v>13</v>
      </c>
      <c r="C11" s="19" t="s">
        <v>14</v>
      </c>
      <c r="D11" s="19" t="s">
        <v>15</v>
      </c>
    </row>
    <row r="12" spans="1:4" ht="30.75" customHeight="1" x14ac:dyDescent="0.55000000000000004">
      <c r="A12" s="20" t="s">
        <v>16</v>
      </c>
      <c r="B12" s="21" t="s">
        <v>17</v>
      </c>
      <c r="C12" s="15" t="s">
        <v>18</v>
      </c>
      <c r="D12" s="22" t="s">
        <v>19</v>
      </c>
    </row>
    <row r="13" spans="1:4" ht="30.75" customHeight="1" x14ac:dyDescent="0.55000000000000004">
      <c r="A13" s="20" t="s">
        <v>20</v>
      </c>
      <c r="B13" s="21" t="s">
        <v>21</v>
      </c>
      <c r="C13" s="15" t="s">
        <v>22</v>
      </c>
      <c r="D13" s="22" t="s">
        <v>19</v>
      </c>
    </row>
    <row r="14" spans="1:4" ht="30.75" customHeight="1" x14ac:dyDescent="0.55000000000000004">
      <c r="A14" s="20" t="s">
        <v>23</v>
      </c>
      <c r="B14" s="21" t="s">
        <v>24</v>
      </c>
      <c r="C14" s="15" t="s">
        <v>25</v>
      </c>
      <c r="D14" s="22" t="s">
        <v>26</v>
      </c>
    </row>
    <row r="15" spans="1:4" ht="30.75" customHeight="1" x14ac:dyDescent="0.55000000000000004">
      <c r="A15" s="20" t="s">
        <v>27</v>
      </c>
      <c r="B15" s="21" t="s">
        <v>28</v>
      </c>
      <c r="C15" s="15" t="s">
        <v>29</v>
      </c>
      <c r="D15" s="22" t="s">
        <v>30</v>
      </c>
    </row>
    <row r="16" spans="1:4" ht="30.75" customHeight="1" x14ac:dyDescent="0.55000000000000004">
      <c r="A16" s="20" t="s">
        <v>31</v>
      </c>
      <c r="B16" s="21" t="s">
        <v>32</v>
      </c>
      <c r="C16" s="15" t="s">
        <v>33</v>
      </c>
      <c r="D16" s="22" t="s">
        <v>34</v>
      </c>
    </row>
    <row r="17" spans="1:4" ht="19.5" customHeight="1" x14ac:dyDescent="0.55000000000000004">
      <c r="A17" s="20" t="s">
        <v>35</v>
      </c>
      <c r="B17" s="21" t="s">
        <v>36</v>
      </c>
      <c r="C17" s="15" t="s">
        <v>37</v>
      </c>
      <c r="D17" s="22" t="s">
        <v>38</v>
      </c>
    </row>
    <row r="18" spans="1:4" ht="30.75" customHeight="1" x14ac:dyDescent="0.55000000000000004">
      <c r="A18" s="20" t="s">
        <v>39</v>
      </c>
      <c r="B18" s="21" t="s">
        <v>40</v>
      </c>
      <c r="C18" s="15" t="s">
        <v>41</v>
      </c>
      <c r="D18" s="22" t="s">
        <v>42</v>
      </c>
    </row>
    <row r="19" spans="1:4" ht="30.75" customHeight="1" x14ac:dyDescent="0.55000000000000004">
      <c r="A19" s="20" t="s">
        <v>43</v>
      </c>
      <c r="B19" s="21" t="s">
        <v>44</v>
      </c>
      <c r="C19" s="15" t="s">
        <v>45</v>
      </c>
      <c r="D19" s="22" t="s">
        <v>46</v>
      </c>
    </row>
    <row r="20" spans="1:4" ht="30.75" customHeight="1" x14ac:dyDescent="0.55000000000000004">
      <c r="A20" s="20" t="s">
        <v>47</v>
      </c>
      <c r="B20" s="21" t="s">
        <v>48</v>
      </c>
      <c r="C20" s="15" t="s">
        <v>49</v>
      </c>
      <c r="D20" s="22" t="s">
        <v>50</v>
      </c>
    </row>
    <row r="21" spans="1:4" ht="19.5" customHeight="1" x14ac:dyDescent="0.55000000000000004">
      <c r="A21" s="20" t="s">
        <v>51</v>
      </c>
      <c r="B21" s="21" t="s">
        <v>52</v>
      </c>
      <c r="C21" s="15" t="s">
        <v>53</v>
      </c>
      <c r="D21" s="22" t="s">
        <v>54</v>
      </c>
    </row>
    <row r="22" spans="1:4" ht="30.75" customHeight="1" x14ac:dyDescent="0.55000000000000004">
      <c r="A22" s="20" t="s">
        <v>55</v>
      </c>
      <c r="B22" s="21" t="s">
        <v>56</v>
      </c>
      <c r="C22" s="15" t="s">
        <v>57</v>
      </c>
      <c r="D22" s="22" t="s">
        <v>58</v>
      </c>
    </row>
    <row r="23" spans="1:4" ht="30.75" customHeight="1" x14ac:dyDescent="0.55000000000000004">
      <c r="A23" s="20" t="s">
        <v>59</v>
      </c>
      <c r="B23" s="21" t="s">
        <v>60</v>
      </c>
      <c r="C23" s="15" t="s">
        <v>61</v>
      </c>
      <c r="D23" s="22" t="s">
        <v>62</v>
      </c>
    </row>
    <row r="24" spans="1:4" ht="30.75" customHeight="1" x14ac:dyDescent="0.55000000000000004">
      <c r="A24" s="20" t="s">
        <v>63</v>
      </c>
      <c r="B24" s="21" t="s">
        <v>64</v>
      </c>
      <c r="C24" s="15" t="s">
        <v>65</v>
      </c>
      <c r="D24" s="22" t="s">
        <v>66</v>
      </c>
    </row>
    <row r="25" spans="1:4" ht="19.5" customHeight="1" x14ac:dyDescent="0.55000000000000004">
      <c r="A25" s="20" t="s">
        <v>67</v>
      </c>
      <c r="B25" s="21" t="s">
        <v>68</v>
      </c>
      <c r="C25" s="15" t="s">
        <v>69</v>
      </c>
      <c r="D25" s="22" t="s">
        <v>70</v>
      </c>
    </row>
    <row r="26" spans="1:4" ht="30.75" customHeight="1" x14ac:dyDescent="0.55000000000000004">
      <c r="A26" s="20" t="s">
        <v>71</v>
      </c>
      <c r="B26" s="21" t="s">
        <v>72</v>
      </c>
      <c r="C26" s="15" t="s">
        <v>73</v>
      </c>
      <c r="D26" s="22" t="s">
        <v>74</v>
      </c>
    </row>
    <row r="27" spans="1:4" ht="30.75" customHeight="1" x14ac:dyDescent="0.55000000000000004">
      <c r="A27" s="20" t="s">
        <v>75</v>
      </c>
      <c r="B27" s="21" t="s">
        <v>76</v>
      </c>
      <c r="C27" s="15" t="s">
        <v>77</v>
      </c>
      <c r="D27" s="22" t="s">
        <v>78</v>
      </c>
    </row>
    <row r="28" spans="1:4" ht="19.5" customHeight="1" x14ac:dyDescent="0.55000000000000004">
      <c r="A28" s="20" t="s">
        <v>79</v>
      </c>
      <c r="B28" s="21" t="s">
        <v>80</v>
      </c>
      <c r="C28" s="15" t="s">
        <v>81</v>
      </c>
      <c r="D28" s="22" t="s">
        <v>82</v>
      </c>
    </row>
    <row r="29" spans="1:4" ht="19.5" customHeight="1" x14ac:dyDescent="0.55000000000000004">
      <c r="A29" s="20" t="s">
        <v>83</v>
      </c>
      <c r="B29" s="21" t="s">
        <v>84</v>
      </c>
      <c r="C29" s="15" t="s">
        <v>85</v>
      </c>
      <c r="D29" s="22" t="s">
        <v>70</v>
      </c>
    </row>
    <row r="31" spans="1:4" ht="18" customHeight="1" x14ac:dyDescent="0.55000000000000004">
      <c r="A31" s="9" t="s">
        <v>86</v>
      </c>
      <c r="B31" s="9"/>
      <c r="C31" s="9"/>
      <c r="D31" s="9"/>
    </row>
    <row r="32" spans="1:4" ht="27.75" customHeight="1" x14ac:dyDescent="0.55000000000000004">
      <c r="A32" s="7" t="s">
        <v>87</v>
      </c>
      <c r="B32" s="7"/>
      <c r="C32" s="7"/>
      <c r="D32" s="7"/>
    </row>
    <row r="33" spans="1:4" ht="27.75" customHeight="1" x14ac:dyDescent="0.55000000000000004">
      <c r="A33" s="7" t="s">
        <v>88</v>
      </c>
      <c r="B33" s="7"/>
      <c r="C33" s="7"/>
      <c r="D33" s="7"/>
    </row>
    <row r="34" spans="1:4" ht="30.75" customHeight="1" x14ac:dyDescent="0.55000000000000004">
      <c r="A34" s="7" t="s">
        <v>89</v>
      </c>
      <c r="B34" s="7"/>
      <c r="C34" s="7"/>
      <c r="D34" s="7"/>
    </row>
    <row r="35" spans="1:4" ht="30.75" customHeight="1" x14ac:dyDescent="0.55000000000000004">
      <c r="A35" s="7" t="s">
        <v>90</v>
      </c>
      <c r="B35" s="7"/>
      <c r="C35" s="7"/>
      <c r="D35" s="7"/>
    </row>
    <row r="36" spans="1:4" ht="30.75" customHeight="1" x14ac:dyDescent="0.55000000000000004">
      <c r="A36" s="7" t="s">
        <v>91</v>
      </c>
      <c r="B36" s="7"/>
      <c r="C36" s="7"/>
      <c r="D36" s="7"/>
    </row>
    <row r="37" spans="1:4" ht="30.75" customHeight="1" x14ac:dyDescent="0.55000000000000004">
      <c r="A37" s="7" t="s">
        <v>92</v>
      </c>
      <c r="B37" s="7"/>
      <c r="C37" s="7"/>
      <c r="D37" s="7"/>
    </row>
    <row r="38" spans="1:4" ht="27.75" customHeight="1" x14ac:dyDescent="0.55000000000000004">
      <c r="A38" s="7" t="s">
        <v>93</v>
      </c>
      <c r="B38" s="7"/>
      <c r="C38" s="7"/>
      <c r="D38" s="7"/>
    </row>
  </sheetData>
  <mergeCells count="16">
    <mergeCell ref="A38:D38"/>
    <mergeCell ref="A33:D33"/>
    <mergeCell ref="A34:D34"/>
    <mergeCell ref="A35:D35"/>
    <mergeCell ref="A36:D36"/>
    <mergeCell ref="A37:D37"/>
    <mergeCell ref="B7:D7"/>
    <mergeCell ref="B8:D8"/>
    <mergeCell ref="B9:D9"/>
    <mergeCell ref="A31:D31"/>
    <mergeCell ref="A32:D32"/>
    <mergeCell ref="A1:D1"/>
    <mergeCell ref="A2:D2"/>
    <mergeCell ref="A3:D3"/>
    <mergeCell ref="A5:D5"/>
    <mergeCell ref="B6:D6"/>
  </mergeCells>
  <hyperlinks>
    <hyperlink ref="B12" r:id="rId1" location="'PP-01%20Land%20Registration'!A1" xr:uid="{00000000-0004-0000-0000-000000000000}"/>
    <hyperlink ref="B13" r:id="rId2" location="'PP-02%20Building%20Registration'!A1" xr:uid="{00000000-0004-0000-0000-000001000000}"/>
    <hyperlink ref="B14" r:id="rId3" location="'PP-03%20In-Use%20Property%20Record'!A1" xr:uid="{00000000-0004-0000-0000-000002000000}"/>
    <hyperlink ref="B15" r:id="rId4" location="'PP-04%20Tenancy%20Record'!A1" xr:uid="{00000000-0004-0000-0000-000003000000}"/>
    <hyperlink ref="B16" r:id="rId5" location="'PP-05%20Rent%20Due%20Auto-Posting'!A1" xr:uid="{00000000-0004-0000-0000-000004000000}"/>
    <hyperlink ref="B17" r:id="rId6" location="'PP-06%20Tenant%20Payment%20Receipt'!A1" xr:uid="{00000000-0004-0000-0000-000005000000}"/>
    <hyperlink ref="B18" r:id="rId7" location="'PP-07%20IC%20Receipt%20Verification'!A1" xr:uid="{00000000-0004-0000-0000-000006000000}"/>
    <hyperlink ref="B19" r:id="rId8" location="'PP-08%20Tenant%20Ledger'!A1" xr:uid="{00000000-0004-0000-0000-000007000000}"/>
    <hyperlink ref="B20" r:id="rId9" location="'PP-09%20Alerts%20&amp;%20Follow-Up'!A1" xr:uid="{00000000-0004-0000-0000-000008000000}"/>
    <hyperlink ref="B21" r:id="rId10" location="'PP-10%20BRT%20Payable%20Ledger'!A1" xr:uid="{00000000-0004-0000-0000-000009000000}"/>
    <hyperlink ref="B22" r:id="rId11" location="'PP-11%20Property%20Disposal'!A1" xr:uid="{00000000-0004-0000-0000-00000A000000}"/>
    <hyperlink ref="B23" r:id="rId12" location="'PP-12%20Revaluation%20&amp;%20Impairment'!A1" xr:uid="{00000000-0004-0000-0000-00000B000000}"/>
    <hyperlink ref="B24" r:id="rId13" location="'PP-13%20Property%20Class%20Request'!A1" xr:uid="{00000000-0004-0000-0000-00000C000000}"/>
    <hyperlink ref="B25" r:id="rId14" location="'PP-14%20Property%20Asset%20Register'!A1" xr:uid="{00000000-0004-0000-0000-00000D000000}"/>
    <hyperlink ref="B26" r:id="rId15" location="'PP-15%20Correction%20Request'!A1" xr:uid="{00000000-0004-0000-0000-00000E000000}"/>
    <hyperlink ref="B27" r:id="rId16" location="'PP-16%20Approval%20Matrix'!A1" xr:uid="{00000000-0004-0000-0000-00000F000000}"/>
    <hyperlink ref="B28" r:id="rId17" location="'PP-17%20Accounting%20Entries'!A1" xr:uid="{00000000-0004-0000-0000-000010000000}"/>
    <hyperlink ref="B29" r:id="rId18" location="'PP-18%20Reports%20Spec'!A1" xr:uid="{00000000-0004-0000-0000-000011000000}"/>
  </hyperlinks>
  <pageMargins left="0.5" right="0.5" top="1" bottom="1" header="0.511811023622047" footer="0.5"/>
  <pageSetup paperSize="9" scale="84" fitToHeight="0" orientation="landscape" horizontalDpi="300" verticalDpi="300" r:id="rId19"/>
  <headerFooter>
    <oddFooter>&amp;LIndex | Crest Point Consulting Group&amp;CPage &amp;P of &amp;N&amp;RStrictly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  <pageSetUpPr fitToPage="1"/>
  </sheetPr>
  <dimension ref="A1:F31"/>
  <sheetViews>
    <sheetView showGridLines="0" zoomScaleNormal="100" workbookViewId="0">
      <selection sqref="A1:B3"/>
    </sheetView>
  </sheetViews>
  <sheetFormatPr defaultColWidth="8.68359375" defaultRowHeight="14.4" x14ac:dyDescent="0.55000000000000004"/>
  <cols>
    <col min="1" max="1" width="7" customWidth="1"/>
    <col min="2" max="2" width="16" customWidth="1"/>
    <col min="3" max="3" width="32" customWidth="1"/>
    <col min="4" max="4" width="36" customWidth="1"/>
    <col min="5" max="6" width="17" customWidth="1"/>
  </cols>
  <sheetData>
    <row r="1" spans="1:6" ht="43.5" customHeight="1" x14ac:dyDescent="0.55000000000000004">
      <c r="A1" s="6" t="s">
        <v>94</v>
      </c>
      <c r="B1" s="6"/>
      <c r="C1" s="5" t="s">
        <v>0</v>
      </c>
      <c r="D1" s="5"/>
      <c r="E1" s="5"/>
      <c r="F1" s="5"/>
    </row>
    <row r="2" spans="1:6" ht="21.75" customHeight="1" x14ac:dyDescent="0.55000000000000004">
      <c r="A2" s="6"/>
      <c r="B2" s="6"/>
      <c r="C2" s="4" t="s">
        <v>95</v>
      </c>
      <c r="D2" s="4"/>
      <c r="E2" s="4"/>
      <c r="F2" s="4"/>
    </row>
    <row r="3" spans="1:6" ht="30.75" customHeight="1" x14ac:dyDescent="0.55000000000000004">
      <c r="A3" s="6"/>
      <c r="B3" s="6"/>
      <c r="C3" s="3" t="s">
        <v>96</v>
      </c>
      <c r="D3" s="3"/>
      <c r="E3" s="3"/>
      <c r="F3" s="3"/>
    </row>
    <row r="5" spans="1:6" ht="18" customHeight="1" x14ac:dyDescent="0.55000000000000004">
      <c r="A5" s="2" t="s">
        <v>97</v>
      </c>
      <c r="B5" s="2"/>
      <c r="C5" s="2"/>
      <c r="D5" s="2"/>
      <c r="E5" s="2"/>
      <c r="F5" s="2"/>
    </row>
    <row r="6" spans="1:6" ht="30.75" customHeight="1" x14ac:dyDescent="0.55000000000000004">
      <c r="A6" s="9" t="s">
        <v>98</v>
      </c>
      <c r="B6" s="9"/>
      <c r="C6" s="23" t="s">
        <v>99</v>
      </c>
      <c r="D6" s="13" t="s">
        <v>100</v>
      </c>
      <c r="E6" s="1" t="s">
        <v>101</v>
      </c>
      <c r="F6" s="1"/>
    </row>
    <row r="7" spans="1:6" ht="30.75" customHeight="1" x14ac:dyDescent="0.55000000000000004">
      <c r="A7" s="9" t="s">
        <v>102</v>
      </c>
      <c r="B7" s="9"/>
      <c r="C7" s="24" t="s">
        <v>103</v>
      </c>
      <c r="D7" s="13" t="s">
        <v>104</v>
      </c>
      <c r="E7" s="1" t="s">
        <v>105</v>
      </c>
      <c r="F7" s="1"/>
    </row>
    <row r="8" spans="1:6" ht="30.75" customHeight="1" x14ac:dyDescent="0.55000000000000004">
      <c r="A8" s="9" t="s">
        <v>106</v>
      </c>
      <c r="B8" s="9"/>
      <c r="C8" s="24" t="s">
        <v>107</v>
      </c>
      <c r="D8" s="13" t="s">
        <v>108</v>
      </c>
      <c r="E8" s="1" t="s">
        <v>109</v>
      </c>
      <c r="F8" s="1"/>
    </row>
    <row r="9" spans="1:6" ht="30.75" customHeight="1" x14ac:dyDescent="0.55000000000000004">
      <c r="A9" s="9" t="s">
        <v>110</v>
      </c>
      <c r="B9" s="9"/>
      <c r="C9" s="25">
        <v>45000</v>
      </c>
      <c r="D9" s="13" t="s">
        <v>111</v>
      </c>
      <c r="E9" s="43">
        <v>42156</v>
      </c>
      <c r="F9" s="43"/>
    </row>
    <row r="10" spans="1:6" ht="19.5" customHeight="1" x14ac:dyDescent="0.55000000000000004">
      <c r="A10" s="9" t="s">
        <v>112</v>
      </c>
      <c r="B10" s="9"/>
      <c r="C10" s="27">
        <v>9000000</v>
      </c>
      <c r="D10" s="13" t="s">
        <v>113</v>
      </c>
      <c r="E10" s="1" t="s">
        <v>114</v>
      </c>
      <c r="F10" s="1"/>
    </row>
    <row r="11" spans="1:6" ht="19.5" customHeight="1" x14ac:dyDescent="0.55000000000000004">
      <c r="A11" s="9" t="s">
        <v>115</v>
      </c>
      <c r="B11" s="9"/>
      <c r="C11" s="23" t="s">
        <v>116</v>
      </c>
      <c r="D11" s="13" t="s">
        <v>117</v>
      </c>
      <c r="E11" s="1" t="s">
        <v>118</v>
      </c>
      <c r="F11" s="1"/>
    </row>
    <row r="13" spans="1:6" ht="18" customHeight="1" x14ac:dyDescent="0.55000000000000004">
      <c r="A13" s="2" t="s">
        <v>119</v>
      </c>
      <c r="B13" s="2"/>
      <c r="C13" s="2"/>
      <c r="D13" s="2"/>
      <c r="E13" s="2"/>
      <c r="F13" s="2"/>
    </row>
    <row r="14" spans="1:6" ht="19.5" customHeight="1" x14ac:dyDescent="0.55000000000000004">
      <c r="A14" s="9" t="s">
        <v>120</v>
      </c>
      <c r="B14" s="9"/>
      <c r="C14" s="24" t="s">
        <v>121</v>
      </c>
      <c r="D14" s="13" t="s">
        <v>122</v>
      </c>
      <c r="E14" s="1" t="s">
        <v>123</v>
      </c>
      <c r="F14" s="1"/>
    </row>
    <row r="16" spans="1:6" ht="18" customHeight="1" x14ac:dyDescent="0.55000000000000004">
      <c r="A16" s="2" t="s">
        <v>124</v>
      </c>
      <c r="B16" s="2"/>
      <c r="C16" s="2"/>
      <c r="D16" s="2"/>
      <c r="E16" s="2"/>
      <c r="F16" s="2"/>
    </row>
    <row r="17" spans="1:6" ht="55.5" customHeight="1" x14ac:dyDescent="0.55000000000000004">
      <c r="A17" s="9" t="s">
        <v>125</v>
      </c>
      <c r="B17" s="9"/>
      <c r="C17" s="24" t="s">
        <v>126</v>
      </c>
      <c r="D17" s="13" t="s">
        <v>127</v>
      </c>
      <c r="E17" s="1" t="s">
        <v>128</v>
      </c>
      <c r="F17" s="1"/>
    </row>
    <row r="18" spans="1:6" ht="30.75" customHeight="1" x14ac:dyDescent="0.55000000000000004">
      <c r="A18" s="9" t="s">
        <v>129</v>
      </c>
      <c r="B18" s="9"/>
      <c r="C18" s="23" t="s">
        <v>130</v>
      </c>
      <c r="D18" s="13" t="s">
        <v>131</v>
      </c>
      <c r="E18" s="44" t="s">
        <v>132</v>
      </c>
      <c r="F18" s="44"/>
    </row>
    <row r="20" spans="1:6" ht="30.75" customHeight="1" x14ac:dyDescent="0.55000000000000004">
      <c r="A20" s="45" t="s">
        <v>133</v>
      </c>
      <c r="B20" s="45"/>
      <c r="C20" s="45"/>
      <c r="D20" s="45" t="s">
        <v>134</v>
      </c>
      <c r="E20" s="45"/>
      <c r="F20" s="45"/>
    </row>
    <row r="21" spans="1:6" ht="19.5" customHeight="1" x14ac:dyDescent="0.55000000000000004">
      <c r="A21" s="8" t="s">
        <v>135</v>
      </c>
      <c r="B21" s="8"/>
      <c r="C21" s="8"/>
      <c r="D21" s="8" t="s">
        <v>135</v>
      </c>
      <c r="E21" s="8"/>
      <c r="F21" s="8"/>
    </row>
    <row r="22" spans="1:6" ht="19.5" customHeight="1" x14ac:dyDescent="0.55000000000000004">
      <c r="A22" s="8" t="s">
        <v>136</v>
      </c>
      <c r="B22" s="8"/>
      <c r="C22" s="8"/>
      <c r="D22" s="8" t="s">
        <v>136</v>
      </c>
      <c r="E22" s="8"/>
      <c r="F22" s="8"/>
    </row>
    <row r="23" spans="1:6" ht="43.5" customHeight="1" x14ac:dyDescent="0.55000000000000004">
      <c r="A23" s="46" t="s">
        <v>137</v>
      </c>
      <c r="B23" s="46"/>
      <c r="C23" s="46"/>
      <c r="D23" s="46" t="s">
        <v>137</v>
      </c>
      <c r="E23" s="46"/>
      <c r="F23" s="46"/>
    </row>
    <row r="24" spans="1:6" ht="19.5" customHeight="1" x14ac:dyDescent="0.55000000000000004">
      <c r="A24" s="8" t="s">
        <v>138</v>
      </c>
      <c r="B24" s="8"/>
      <c r="C24" s="8"/>
      <c r="D24" s="8" t="s">
        <v>138</v>
      </c>
      <c r="E24" s="8"/>
      <c r="F24" s="8"/>
    </row>
    <row r="26" spans="1:6" ht="18" customHeight="1" x14ac:dyDescent="0.55000000000000004">
      <c r="A26" s="9" t="s">
        <v>139</v>
      </c>
      <c r="B26" s="9"/>
      <c r="C26" s="9"/>
      <c r="D26" s="9"/>
      <c r="E26" s="9"/>
      <c r="F26" s="9"/>
    </row>
    <row r="27" spans="1:6" ht="33.75" customHeight="1" x14ac:dyDescent="0.55000000000000004">
      <c r="A27" s="7" t="s">
        <v>140</v>
      </c>
      <c r="B27" s="7"/>
      <c r="C27" s="7"/>
      <c r="D27" s="7"/>
      <c r="E27" s="7"/>
      <c r="F27" s="7"/>
    </row>
    <row r="28" spans="1:6" ht="33.75" customHeight="1" x14ac:dyDescent="0.55000000000000004">
      <c r="A28" s="7" t="s">
        <v>141</v>
      </c>
      <c r="B28" s="7"/>
      <c r="C28" s="7"/>
      <c r="D28" s="7"/>
      <c r="E28" s="7"/>
      <c r="F28" s="7"/>
    </row>
    <row r="29" spans="1:6" ht="33.75" customHeight="1" x14ac:dyDescent="0.55000000000000004">
      <c r="A29" s="7" t="s">
        <v>142</v>
      </c>
      <c r="B29" s="7"/>
      <c r="C29" s="7"/>
      <c r="D29" s="7"/>
      <c r="E29" s="7"/>
      <c r="F29" s="7"/>
    </row>
    <row r="30" spans="1:6" ht="33.75" customHeight="1" x14ac:dyDescent="0.55000000000000004">
      <c r="A30" s="7" t="s">
        <v>143</v>
      </c>
      <c r="B30" s="7"/>
      <c r="C30" s="7"/>
      <c r="D30" s="7"/>
      <c r="E30" s="7"/>
      <c r="F30" s="7"/>
    </row>
    <row r="31" spans="1:6" ht="43.5" customHeight="1" x14ac:dyDescent="0.55000000000000004">
      <c r="A31" s="7" t="s">
        <v>144</v>
      </c>
      <c r="B31" s="7"/>
      <c r="C31" s="7"/>
      <c r="D31" s="7"/>
      <c r="E31" s="7"/>
      <c r="F31" s="7"/>
    </row>
  </sheetData>
  <mergeCells count="41">
    <mergeCell ref="A31:F31"/>
    <mergeCell ref="A26:F26"/>
    <mergeCell ref="A27:F27"/>
    <mergeCell ref="A28:F28"/>
    <mergeCell ref="A29:F29"/>
    <mergeCell ref="A30:F30"/>
    <mergeCell ref="A22:C22"/>
    <mergeCell ref="D22:F22"/>
    <mergeCell ref="A23:C23"/>
    <mergeCell ref="D23:F23"/>
    <mergeCell ref="A24:C24"/>
    <mergeCell ref="D24:F24"/>
    <mergeCell ref="A18:B18"/>
    <mergeCell ref="E18:F18"/>
    <mergeCell ref="A20:C20"/>
    <mergeCell ref="D20:F20"/>
    <mergeCell ref="A21:C21"/>
    <mergeCell ref="D21:F21"/>
    <mergeCell ref="A13:F13"/>
    <mergeCell ref="A14:B14"/>
    <mergeCell ref="E14:F14"/>
    <mergeCell ref="A16:F16"/>
    <mergeCell ref="A17:B17"/>
    <mergeCell ref="E17:F17"/>
    <mergeCell ref="A9:B9"/>
    <mergeCell ref="E9:F9"/>
    <mergeCell ref="A10:B10"/>
    <mergeCell ref="E10:F10"/>
    <mergeCell ref="A11:B11"/>
    <mergeCell ref="E11:F11"/>
    <mergeCell ref="A6:B6"/>
    <mergeCell ref="E6:F6"/>
    <mergeCell ref="A7:B7"/>
    <mergeCell ref="E7:F7"/>
    <mergeCell ref="A8:B8"/>
    <mergeCell ref="E8:F8"/>
    <mergeCell ref="A1:B3"/>
    <mergeCell ref="C1:F1"/>
    <mergeCell ref="C2:F2"/>
    <mergeCell ref="C3:F3"/>
    <mergeCell ref="A5:F5"/>
  </mergeCells>
  <dataValidations count="3">
    <dataValidation type="list" allowBlank="1" sqref="E6" xr:uid="{00000000-0002-0000-0100-000000000000}">
      <formula1>"Land - In Use,Land - Rental"</formula1>
      <formula2>0</formula2>
    </dataValidation>
    <dataValidation type="list" allowBlank="1" sqref="E7" xr:uid="{00000000-0002-0000-0100-000001000000}">
      <formula1>"In Use,Rented,Vacant"</formula1>
      <formula2>0</formula2>
    </dataValidation>
    <dataValidation type="list" allowBlank="1" sqref="E17" xr:uid="{00000000-0002-0000-0100-000002000000}">
      <formula1>"Approved,Rejected"</formula1>
      <formula2>0</formula2>
    </dataValidation>
  </dataValidations>
  <pageMargins left="0.5" right="0.5" top="1" bottom="1" header="0.511811023622047" footer="0.5"/>
  <pageSetup paperSize="9" fitToHeight="0" orientation="portrait" horizontalDpi="300" verticalDpi="300"/>
  <headerFooter>
    <oddFooter>&amp;LPP-01 | Crest Point Consulting Group&amp;CPage &amp;P of &amp;N&amp;RStrictly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864"/>
    <pageSetUpPr fitToPage="1"/>
  </sheetPr>
  <dimension ref="A1:F32"/>
  <sheetViews>
    <sheetView showGridLines="0" zoomScaleNormal="100" workbookViewId="0">
      <selection sqref="A1:B3"/>
    </sheetView>
  </sheetViews>
  <sheetFormatPr defaultColWidth="8.68359375" defaultRowHeight="14.4" x14ac:dyDescent="0.55000000000000004"/>
  <cols>
    <col min="1" max="1" width="7" customWidth="1"/>
    <col min="2" max="2" width="16" customWidth="1"/>
    <col min="3" max="3" width="32" customWidth="1"/>
    <col min="4" max="4" width="36" customWidth="1"/>
    <col min="5" max="6" width="17" customWidth="1"/>
  </cols>
  <sheetData>
    <row r="1" spans="1:6" ht="43.5" customHeight="1" x14ac:dyDescent="0.55000000000000004">
      <c r="A1" s="6" t="s">
        <v>94</v>
      </c>
      <c r="B1" s="6"/>
      <c r="C1" s="5" t="s">
        <v>0</v>
      </c>
      <c r="D1" s="5"/>
      <c r="E1" s="5"/>
      <c r="F1" s="5"/>
    </row>
    <row r="2" spans="1:6" ht="21.75" customHeight="1" x14ac:dyDescent="0.55000000000000004">
      <c r="A2" s="6"/>
      <c r="B2" s="6"/>
      <c r="C2" s="4" t="s">
        <v>145</v>
      </c>
      <c r="D2" s="4"/>
      <c r="E2" s="4"/>
      <c r="F2" s="4"/>
    </row>
    <row r="3" spans="1:6" ht="30.75" customHeight="1" x14ac:dyDescent="0.55000000000000004">
      <c r="A3" s="6"/>
      <c r="B3" s="6"/>
      <c r="C3" s="3" t="s">
        <v>146</v>
      </c>
      <c r="D3" s="3"/>
      <c r="E3" s="3"/>
      <c r="F3" s="3"/>
    </row>
    <row r="5" spans="1:6" ht="18" customHeight="1" x14ac:dyDescent="0.55000000000000004">
      <c r="A5" s="2" t="s">
        <v>97</v>
      </c>
      <c r="B5" s="2"/>
      <c r="C5" s="2"/>
      <c r="D5" s="2"/>
      <c r="E5" s="2"/>
      <c r="F5" s="2"/>
    </row>
    <row r="6" spans="1:6" ht="30.75" customHeight="1" x14ac:dyDescent="0.55000000000000004">
      <c r="A6" s="9" t="s">
        <v>98</v>
      </c>
      <c r="B6" s="9"/>
      <c r="C6" s="23" t="s">
        <v>147</v>
      </c>
      <c r="D6" s="13" t="s">
        <v>100</v>
      </c>
      <c r="E6" s="1" t="s">
        <v>148</v>
      </c>
      <c r="F6" s="1"/>
    </row>
    <row r="7" spans="1:6" ht="30.75" customHeight="1" x14ac:dyDescent="0.55000000000000004">
      <c r="A7" s="9" t="s">
        <v>102</v>
      </c>
      <c r="B7" s="9"/>
      <c r="C7" s="24" t="s">
        <v>149</v>
      </c>
      <c r="D7" s="13" t="s">
        <v>104</v>
      </c>
      <c r="E7" s="1" t="s">
        <v>105</v>
      </c>
      <c r="F7" s="1"/>
    </row>
    <row r="8" spans="1:6" ht="30.75" customHeight="1" x14ac:dyDescent="0.55000000000000004">
      <c r="A8" s="9" t="s">
        <v>106</v>
      </c>
      <c r="B8" s="9"/>
      <c r="C8" s="24" t="s">
        <v>150</v>
      </c>
      <c r="D8" s="13" t="s">
        <v>108</v>
      </c>
      <c r="E8" s="1" t="s">
        <v>151</v>
      </c>
      <c r="F8" s="1"/>
    </row>
    <row r="9" spans="1:6" ht="30.75" customHeight="1" x14ac:dyDescent="0.55000000000000004">
      <c r="A9" s="9" t="s">
        <v>110</v>
      </c>
      <c r="B9" s="9"/>
      <c r="C9" s="25">
        <v>1200</v>
      </c>
      <c r="D9" s="13" t="s">
        <v>152</v>
      </c>
      <c r="E9" s="43">
        <v>43586</v>
      </c>
      <c r="F9" s="43"/>
    </row>
    <row r="10" spans="1:6" ht="30.75" customHeight="1" x14ac:dyDescent="0.55000000000000004">
      <c r="A10" s="9" t="s">
        <v>153</v>
      </c>
      <c r="B10" s="9"/>
      <c r="C10" s="27">
        <v>24000000</v>
      </c>
      <c r="D10" s="13" t="s">
        <v>154</v>
      </c>
      <c r="E10" s="1" t="s">
        <v>155</v>
      </c>
      <c r="F10" s="1"/>
    </row>
    <row r="11" spans="1:6" ht="30.75" customHeight="1" x14ac:dyDescent="0.55000000000000004">
      <c r="A11" s="9" t="s">
        <v>117</v>
      </c>
      <c r="B11" s="9"/>
      <c r="C11" s="24" t="s">
        <v>156</v>
      </c>
      <c r="D11" s="13" t="s">
        <v>157</v>
      </c>
      <c r="E11" s="1" t="s">
        <v>158</v>
      </c>
      <c r="F11" s="1"/>
    </row>
    <row r="13" spans="1:6" ht="18" customHeight="1" x14ac:dyDescent="0.55000000000000004">
      <c r="A13" s="2" t="s">
        <v>159</v>
      </c>
      <c r="B13" s="2"/>
      <c r="C13" s="2"/>
      <c r="D13" s="2"/>
      <c r="E13" s="2"/>
      <c r="F13" s="2"/>
    </row>
    <row r="14" spans="1:6" ht="31.5" customHeight="1" x14ac:dyDescent="0.55000000000000004">
      <c r="A14" s="9" t="s">
        <v>160</v>
      </c>
      <c r="B14" s="9"/>
      <c r="C14" s="23" t="s">
        <v>161</v>
      </c>
      <c r="D14" s="13" t="s">
        <v>162</v>
      </c>
      <c r="E14" s="47">
        <v>0.02</v>
      </c>
      <c r="F14" s="47"/>
    </row>
    <row r="15" spans="1:6" ht="19.5" customHeight="1" x14ac:dyDescent="0.55000000000000004">
      <c r="A15" s="9" t="s">
        <v>163</v>
      </c>
      <c r="B15" s="9"/>
      <c r="C15" s="23" t="s">
        <v>164</v>
      </c>
      <c r="D15" s="13" t="s">
        <v>165</v>
      </c>
      <c r="E15" s="48">
        <v>46298</v>
      </c>
      <c r="F15" s="48"/>
    </row>
    <row r="16" spans="1:6" ht="55.5" customHeight="1" x14ac:dyDescent="0.55000000000000004">
      <c r="A16" s="9" t="s">
        <v>166</v>
      </c>
      <c r="B16" s="9"/>
      <c r="C16" s="32">
        <f>ROUND(C10*E14/12,2)</f>
        <v>40000</v>
      </c>
      <c r="D16" s="13" t="s">
        <v>167</v>
      </c>
      <c r="E16" s="44" t="s">
        <v>168</v>
      </c>
      <c r="F16" s="44"/>
    </row>
    <row r="18" spans="1:6" ht="18" customHeight="1" x14ac:dyDescent="0.55000000000000004">
      <c r="A18" s="2" t="s">
        <v>169</v>
      </c>
      <c r="B18" s="2"/>
      <c r="C18" s="2"/>
      <c r="D18" s="2"/>
      <c r="E18" s="2"/>
      <c r="F18" s="2"/>
    </row>
    <row r="19" spans="1:6" ht="55.5" customHeight="1" x14ac:dyDescent="0.55000000000000004">
      <c r="A19" s="9" t="s">
        <v>170</v>
      </c>
      <c r="B19" s="9"/>
      <c r="C19" s="24" t="s">
        <v>171</v>
      </c>
      <c r="D19" s="13" t="s">
        <v>127</v>
      </c>
      <c r="E19" s="1" t="s">
        <v>128</v>
      </c>
      <c r="F19" s="1"/>
    </row>
    <row r="20" spans="1:6" ht="19.5" customHeight="1" x14ac:dyDescent="0.55000000000000004">
      <c r="A20" s="9" t="s">
        <v>129</v>
      </c>
      <c r="B20" s="9"/>
      <c r="C20" s="23" t="s">
        <v>130</v>
      </c>
      <c r="D20" s="13" t="s">
        <v>172</v>
      </c>
      <c r="E20" s="44" t="s">
        <v>173</v>
      </c>
      <c r="F20" s="44"/>
    </row>
    <row r="22" spans="1:6" ht="30.75" customHeight="1" x14ac:dyDescent="0.55000000000000004">
      <c r="A22" s="45" t="s">
        <v>133</v>
      </c>
      <c r="B22" s="45"/>
      <c r="C22" s="45"/>
      <c r="D22" s="28" t="s">
        <v>174</v>
      </c>
      <c r="E22" s="45" t="s">
        <v>175</v>
      </c>
      <c r="F22" s="45"/>
    </row>
    <row r="23" spans="1:6" ht="19.5" customHeight="1" x14ac:dyDescent="0.55000000000000004">
      <c r="A23" s="8" t="s">
        <v>135</v>
      </c>
      <c r="B23" s="8"/>
      <c r="C23" s="8"/>
      <c r="D23" s="15" t="s">
        <v>135</v>
      </c>
      <c r="E23" s="8" t="s">
        <v>135</v>
      </c>
      <c r="F23" s="8"/>
    </row>
    <row r="24" spans="1:6" ht="19.5" customHeight="1" x14ac:dyDescent="0.55000000000000004">
      <c r="A24" s="8" t="s">
        <v>136</v>
      </c>
      <c r="B24" s="8"/>
      <c r="C24" s="8"/>
      <c r="D24" s="15" t="s">
        <v>136</v>
      </c>
      <c r="E24" s="8" t="s">
        <v>136</v>
      </c>
      <c r="F24" s="8"/>
    </row>
    <row r="25" spans="1:6" ht="43.5" customHeight="1" x14ac:dyDescent="0.55000000000000004">
      <c r="A25" s="46" t="s">
        <v>137</v>
      </c>
      <c r="B25" s="46"/>
      <c r="C25" s="46"/>
      <c r="D25" s="29" t="s">
        <v>137</v>
      </c>
      <c r="E25" s="46" t="s">
        <v>137</v>
      </c>
      <c r="F25" s="46"/>
    </row>
    <row r="26" spans="1:6" ht="19.5" customHeight="1" x14ac:dyDescent="0.55000000000000004">
      <c r="A26" s="8" t="s">
        <v>138</v>
      </c>
      <c r="B26" s="8"/>
      <c r="C26" s="8"/>
      <c r="D26" s="15" t="s">
        <v>138</v>
      </c>
      <c r="E26" s="8" t="s">
        <v>138</v>
      </c>
      <c r="F26" s="8"/>
    </row>
    <row r="28" spans="1:6" ht="18" customHeight="1" x14ac:dyDescent="0.55000000000000004">
      <c r="A28" s="9" t="s">
        <v>139</v>
      </c>
      <c r="B28" s="9"/>
      <c r="C28" s="9"/>
      <c r="D28" s="9"/>
      <c r="E28" s="9"/>
      <c r="F28" s="9"/>
    </row>
    <row r="29" spans="1:6" ht="43.5" customHeight="1" x14ac:dyDescent="0.55000000000000004">
      <c r="A29" s="7" t="s">
        <v>176</v>
      </c>
      <c r="B29" s="7"/>
      <c r="C29" s="7"/>
      <c r="D29" s="7"/>
      <c r="E29" s="7"/>
      <c r="F29" s="7"/>
    </row>
    <row r="30" spans="1:6" ht="33.75" customHeight="1" x14ac:dyDescent="0.55000000000000004">
      <c r="A30" s="7" t="s">
        <v>177</v>
      </c>
      <c r="B30" s="7"/>
      <c r="C30" s="7"/>
      <c r="D30" s="7"/>
      <c r="E30" s="7"/>
      <c r="F30" s="7"/>
    </row>
    <row r="31" spans="1:6" ht="33.75" customHeight="1" x14ac:dyDescent="0.55000000000000004">
      <c r="A31" s="7" t="s">
        <v>178</v>
      </c>
      <c r="B31" s="7"/>
      <c r="C31" s="7"/>
      <c r="D31" s="7"/>
      <c r="E31" s="7"/>
      <c r="F31" s="7"/>
    </row>
    <row r="32" spans="1:6" ht="43.5" customHeight="1" x14ac:dyDescent="0.55000000000000004">
      <c r="A32" s="7" t="s">
        <v>179</v>
      </c>
      <c r="B32" s="7"/>
      <c r="C32" s="7"/>
      <c r="D32" s="7"/>
      <c r="E32" s="7"/>
      <c r="F32" s="7"/>
    </row>
  </sheetData>
  <mergeCells count="44">
    <mergeCell ref="A28:F28"/>
    <mergeCell ref="A29:F29"/>
    <mergeCell ref="A30:F30"/>
    <mergeCell ref="A31:F31"/>
    <mergeCell ref="A32:F32"/>
    <mergeCell ref="A24:C24"/>
    <mergeCell ref="E24:F24"/>
    <mergeCell ref="A25:C25"/>
    <mergeCell ref="E25:F25"/>
    <mergeCell ref="A26:C26"/>
    <mergeCell ref="E26:F26"/>
    <mergeCell ref="A20:B20"/>
    <mergeCell ref="E20:F20"/>
    <mergeCell ref="A22:C22"/>
    <mergeCell ref="E22:F22"/>
    <mergeCell ref="A23:C23"/>
    <mergeCell ref="E23:F23"/>
    <mergeCell ref="A16:B16"/>
    <mergeCell ref="E16:F16"/>
    <mergeCell ref="A18:F18"/>
    <mergeCell ref="A19:B19"/>
    <mergeCell ref="E19:F19"/>
    <mergeCell ref="A13:F13"/>
    <mergeCell ref="A14:B14"/>
    <mergeCell ref="E14:F14"/>
    <mergeCell ref="A15:B15"/>
    <mergeCell ref="E15:F15"/>
    <mergeCell ref="A9:B9"/>
    <mergeCell ref="E9:F9"/>
    <mergeCell ref="A10:B10"/>
    <mergeCell ref="E10:F10"/>
    <mergeCell ref="A11:B11"/>
    <mergeCell ref="E11:F11"/>
    <mergeCell ref="A6:B6"/>
    <mergeCell ref="E6:F6"/>
    <mergeCell ref="A7:B7"/>
    <mergeCell ref="E7:F7"/>
    <mergeCell ref="A8:B8"/>
    <mergeCell ref="E8:F8"/>
    <mergeCell ref="A1:B3"/>
    <mergeCell ref="C1:F1"/>
    <mergeCell ref="C2:F2"/>
    <mergeCell ref="C3:F3"/>
    <mergeCell ref="A5:F5"/>
  </mergeCells>
  <dataValidations count="3">
    <dataValidation type="list" allowBlank="1" sqref="E6" xr:uid="{00000000-0002-0000-0200-000000000000}">
      <formula1>"Building - In Use,Building - Rental"</formula1>
      <formula2>0</formula2>
    </dataValidation>
    <dataValidation type="list" allowBlank="1" sqref="E7" xr:uid="{00000000-0002-0000-0200-000001000000}">
      <formula1>"In Use,Rented,Vacant,Under Maintenance"</formula1>
      <formula2>0</formula2>
    </dataValidation>
    <dataValidation type="list" allowBlank="1" sqref="E19" xr:uid="{00000000-0002-0000-0200-000002000000}">
      <formula1>"Approved,Rejected"</formula1>
      <formula2>0</formula2>
    </dataValidation>
  </dataValidations>
  <pageMargins left="0.5" right="0.5" top="1" bottom="1" header="0.511811023622047" footer="0.5"/>
  <pageSetup paperSize="9" fitToHeight="0" orientation="portrait" horizontalDpi="300" verticalDpi="300"/>
  <headerFooter>
    <oddFooter>&amp;LPP-02 | Crest Point Consulting Group&amp;CPage &amp;P of &amp;N&amp;RStrictly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  <pageSetUpPr fitToPage="1"/>
  </sheetPr>
  <dimension ref="A1:F30"/>
  <sheetViews>
    <sheetView showGridLines="0" zoomScaleNormal="100" workbookViewId="0">
      <selection sqref="A1:B3"/>
    </sheetView>
  </sheetViews>
  <sheetFormatPr defaultColWidth="8.68359375" defaultRowHeight="14.4" x14ac:dyDescent="0.55000000000000004"/>
  <cols>
    <col min="1" max="1" width="7" customWidth="1"/>
    <col min="2" max="2" width="16" customWidth="1"/>
    <col min="3" max="3" width="32" customWidth="1"/>
    <col min="4" max="4" width="36" customWidth="1"/>
    <col min="5" max="6" width="17" customWidth="1"/>
  </cols>
  <sheetData>
    <row r="1" spans="1:6" ht="43.5" customHeight="1" x14ac:dyDescent="0.55000000000000004">
      <c r="A1" s="6" t="s">
        <v>94</v>
      </c>
      <c r="B1" s="6"/>
      <c r="C1" s="5" t="s">
        <v>0</v>
      </c>
      <c r="D1" s="5"/>
      <c r="E1" s="5"/>
      <c r="F1" s="5"/>
    </row>
    <row r="2" spans="1:6" ht="21.75" customHeight="1" x14ac:dyDescent="0.55000000000000004">
      <c r="A2" s="6"/>
      <c r="B2" s="6"/>
      <c r="C2" s="4" t="s">
        <v>180</v>
      </c>
      <c r="D2" s="4"/>
      <c r="E2" s="4"/>
      <c r="F2" s="4"/>
    </row>
    <row r="3" spans="1:6" ht="30.75" customHeight="1" x14ac:dyDescent="0.55000000000000004">
      <c r="A3" s="6"/>
      <c r="B3" s="6"/>
      <c r="C3" s="3" t="s">
        <v>181</v>
      </c>
      <c r="D3" s="3"/>
      <c r="E3" s="3"/>
      <c r="F3" s="3"/>
    </row>
    <row r="5" spans="1:6" ht="18" customHeight="1" x14ac:dyDescent="0.55000000000000004">
      <c r="A5" s="2" t="s">
        <v>182</v>
      </c>
      <c r="B5" s="2"/>
      <c r="C5" s="2"/>
      <c r="D5" s="2"/>
      <c r="E5" s="2"/>
      <c r="F5" s="2"/>
    </row>
    <row r="6" spans="1:6" ht="30.75" customHeight="1" x14ac:dyDescent="0.55000000000000004">
      <c r="A6" s="9" t="s">
        <v>183</v>
      </c>
      <c r="B6" s="9"/>
      <c r="C6" s="23" t="s">
        <v>184</v>
      </c>
      <c r="D6" s="13" t="s">
        <v>102</v>
      </c>
      <c r="E6" s="44" t="s">
        <v>185</v>
      </c>
      <c r="F6" s="44"/>
    </row>
    <row r="7" spans="1:6" ht="19.5" customHeight="1" x14ac:dyDescent="0.55000000000000004">
      <c r="A7" s="9" t="s">
        <v>100</v>
      </c>
      <c r="B7" s="9"/>
      <c r="C7" s="23" t="s">
        <v>186</v>
      </c>
      <c r="D7" s="13" t="s">
        <v>187</v>
      </c>
      <c r="E7" s="1" t="s">
        <v>188</v>
      </c>
      <c r="F7" s="1"/>
    </row>
    <row r="8" spans="1:6" ht="19.5" customHeight="1" x14ac:dyDescent="0.55000000000000004">
      <c r="A8" s="9" t="s">
        <v>189</v>
      </c>
      <c r="B8" s="9"/>
      <c r="C8" s="24" t="s">
        <v>190</v>
      </c>
      <c r="D8" s="13" t="s">
        <v>191</v>
      </c>
      <c r="E8" s="43">
        <v>43831</v>
      </c>
      <c r="F8" s="43"/>
    </row>
    <row r="9" spans="1:6" ht="30.75" customHeight="1" x14ac:dyDescent="0.55000000000000004">
      <c r="A9" s="9" t="s">
        <v>192</v>
      </c>
      <c r="B9" s="9"/>
      <c r="C9" s="24" t="s">
        <v>193</v>
      </c>
      <c r="D9" s="13" t="s">
        <v>194</v>
      </c>
      <c r="E9" s="44" t="s">
        <v>195</v>
      </c>
      <c r="F9" s="44"/>
    </row>
    <row r="11" spans="1:6" ht="18" customHeight="1" x14ac:dyDescent="0.55000000000000004">
      <c r="A11" s="2" t="s">
        <v>196</v>
      </c>
      <c r="B11" s="2"/>
      <c r="C11" s="2"/>
      <c r="D11" s="2"/>
      <c r="E11" s="2"/>
      <c r="F11" s="2"/>
    </row>
    <row r="12" spans="1:6" ht="30" customHeight="1" x14ac:dyDescent="0.55000000000000004">
      <c r="A12" s="19" t="s">
        <v>197</v>
      </c>
      <c r="B12" s="19" t="s">
        <v>198</v>
      </c>
      <c r="C12" s="19" t="s">
        <v>199</v>
      </c>
      <c r="D12" s="19" t="s">
        <v>200</v>
      </c>
      <c r="E12" s="19" t="s">
        <v>201</v>
      </c>
      <c r="F12" s="19" t="s">
        <v>202</v>
      </c>
    </row>
    <row r="13" spans="1:6" ht="19.5" customHeight="1" x14ac:dyDescent="0.55000000000000004">
      <c r="A13" s="20">
        <v>1</v>
      </c>
      <c r="B13" s="26">
        <v>45366</v>
      </c>
      <c r="C13" s="24" t="s">
        <v>203</v>
      </c>
      <c r="D13" s="24" t="s">
        <v>204</v>
      </c>
      <c r="E13" s="24" t="s">
        <v>205</v>
      </c>
      <c r="F13" s="24" t="s">
        <v>206</v>
      </c>
    </row>
    <row r="14" spans="1:6" ht="30.75" customHeight="1" x14ac:dyDescent="0.55000000000000004">
      <c r="A14" s="20">
        <v>2</v>
      </c>
      <c r="B14" s="26">
        <v>46307</v>
      </c>
      <c r="C14" s="24" t="s">
        <v>207</v>
      </c>
      <c r="D14" s="24" t="s">
        <v>208</v>
      </c>
      <c r="E14" s="24" t="s">
        <v>205</v>
      </c>
      <c r="F14" s="24" t="s">
        <v>209</v>
      </c>
    </row>
    <row r="15" spans="1:6" ht="19.5" customHeight="1" x14ac:dyDescent="0.55000000000000004">
      <c r="A15" s="20">
        <v>3</v>
      </c>
      <c r="B15" s="15"/>
      <c r="C15" s="15"/>
      <c r="D15" s="15"/>
      <c r="E15" s="15"/>
      <c r="F15" s="15"/>
    </row>
    <row r="16" spans="1:6" ht="19.5" customHeight="1" x14ac:dyDescent="0.55000000000000004">
      <c r="A16" s="20">
        <v>4</v>
      </c>
      <c r="B16" s="15"/>
      <c r="C16" s="15"/>
      <c r="D16" s="15"/>
      <c r="E16" s="15"/>
      <c r="F16" s="15"/>
    </row>
    <row r="17" spans="1:6" ht="19.5" customHeight="1" x14ac:dyDescent="0.55000000000000004">
      <c r="A17" s="20">
        <v>5</v>
      </c>
      <c r="B17" s="15"/>
      <c r="C17" s="15"/>
      <c r="D17" s="15"/>
      <c r="E17" s="15"/>
      <c r="F17" s="15"/>
    </row>
    <row r="19" spans="1:6" ht="18" customHeight="1" x14ac:dyDescent="0.55000000000000004">
      <c r="A19" s="2" t="s">
        <v>210</v>
      </c>
      <c r="B19" s="2"/>
      <c r="C19" s="2"/>
      <c r="D19" s="2"/>
      <c r="E19" s="2"/>
      <c r="F19" s="2"/>
    </row>
    <row r="20" spans="1:6" ht="30.75" customHeight="1" x14ac:dyDescent="0.55000000000000004">
      <c r="A20" s="9" t="s">
        <v>211</v>
      </c>
      <c r="B20" s="9"/>
      <c r="C20" s="23" t="s">
        <v>212</v>
      </c>
      <c r="D20" s="13" t="s">
        <v>127</v>
      </c>
      <c r="E20" s="1" t="s">
        <v>128</v>
      </c>
      <c r="F20" s="1"/>
    </row>
    <row r="22" spans="1:6" ht="30.75" customHeight="1" x14ac:dyDescent="0.55000000000000004">
      <c r="A22" s="45" t="s">
        <v>213</v>
      </c>
      <c r="B22" s="45"/>
      <c r="C22" s="45"/>
      <c r="D22" s="45" t="s">
        <v>134</v>
      </c>
      <c r="E22" s="45"/>
      <c r="F22" s="45"/>
    </row>
    <row r="23" spans="1:6" ht="19.5" customHeight="1" x14ac:dyDescent="0.55000000000000004">
      <c r="A23" s="8" t="s">
        <v>135</v>
      </c>
      <c r="B23" s="8"/>
      <c r="C23" s="8"/>
      <c r="D23" s="8" t="s">
        <v>135</v>
      </c>
      <c r="E23" s="8"/>
      <c r="F23" s="8"/>
    </row>
    <row r="24" spans="1:6" ht="19.5" customHeight="1" x14ac:dyDescent="0.55000000000000004">
      <c r="A24" s="8" t="s">
        <v>136</v>
      </c>
      <c r="B24" s="8"/>
      <c r="C24" s="8"/>
      <c r="D24" s="8" t="s">
        <v>136</v>
      </c>
      <c r="E24" s="8"/>
      <c r="F24" s="8"/>
    </row>
    <row r="25" spans="1:6" ht="43.5" customHeight="1" x14ac:dyDescent="0.55000000000000004">
      <c r="A25" s="46" t="s">
        <v>137</v>
      </c>
      <c r="B25" s="46"/>
      <c r="C25" s="46"/>
      <c r="D25" s="46" t="s">
        <v>137</v>
      </c>
      <c r="E25" s="46"/>
      <c r="F25" s="46"/>
    </row>
    <row r="26" spans="1:6" ht="19.5" customHeight="1" x14ac:dyDescent="0.55000000000000004">
      <c r="A26" s="8" t="s">
        <v>138</v>
      </c>
      <c r="B26" s="8"/>
      <c r="C26" s="8"/>
      <c r="D26" s="8" t="s">
        <v>138</v>
      </c>
      <c r="E26" s="8"/>
      <c r="F26" s="8"/>
    </row>
    <row r="28" spans="1:6" ht="18" customHeight="1" x14ac:dyDescent="0.55000000000000004">
      <c r="A28" s="9" t="s">
        <v>139</v>
      </c>
      <c r="B28" s="9"/>
      <c r="C28" s="9"/>
      <c r="D28" s="9"/>
      <c r="E28" s="9"/>
      <c r="F28" s="9"/>
    </row>
    <row r="29" spans="1:6" ht="30.75" customHeight="1" x14ac:dyDescent="0.55000000000000004">
      <c r="A29" s="7" t="s">
        <v>214</v>
      </c>
      <c r="B29" s="7"/>
      <c r="C29" s="7"/>
      <c r="D29" s="7"/>
      <c r="E29" s="7"/>
      <c r="F29" s="7"/>
    </row>
    <row r="30" spans="1:6" ht="30.75" customHeight="1" x14ac:dyDescent="0.55000000000000004">
      <c r="A30" s="7" t="s">
        <v>215</v>
      </c>
      <c r="B30" s="7"/>
      <c r="C30" s="7"/>
      <c r="D30" s="7"/>
      <c r="E30" s="7"/>
      <c r="F30" s="7"/>
    </row>
  </sheetData>
  <mergeCells count="30">
    <mergeCell ref="A29:F29"/>
    <mergeCell ref="A30:F30"/>
    <mergeCell ref="A25:C25"/>
    <mergeCell ref="D25:F25"/>
    <mergeCell ref="A26:C26"/>
    <mergeCell ref="D26:F26"/>
    <mergeCell ref="A28:F28"/>
    <mergeCell ref="A22:C22"/>
    <mergeCell ref="D22:F22"/>
    <mergeCell ref="A23:C23"/>
    <mergeCell ref="D23:F23"/>
    <mergeCell ref="A24:C24"/>
    <mergeCell ref="D24:F24"/>
    <mergeCell ref="A9:B9"/>
    <mergeCell ref="E9:F9"/>
    <mergeCell ref="A11:F11"/>
    <mergeCell ref="A19:F19"/>
    <mergeCell ref="A20:B20"/>
    <mergeCell ref="E20:F20"/>
    <mergeCell ref="A6:B6"/>
    <mergeCell ref="E6:F6"/>
    <mergeCell ref="A7:B7"/>
    <mergeCell ref="E7:F7"/>
    <mergeCell ref="A8:B8"/>
    <mergeCell ref="E8:F8"/>
    <mergeCell ref="A1:B3"/>
    <mergeCell ref="C1:F1"/>
    <mergeCell ref="C2:F2"/>
    <mergeCell ref="C3:F3"/>
    <mergeCell ref="A5:F5"/>
  </mergeCells>
  <dataValidations count="4">
    <dataValidation type="list" allowBlank="1" sqref="C8" xr:uid="{00000000-0002-0000-0300-000000000000}">
      <formula1>"Administrative office,Mining site,Warehouse,Staff accommodation,Storage yard,Other"</formula1>
      <formula2>0</formula2>
    </dataValidation>
    <dataValidation type="list" allowBlank="1" sqref="C9" xr:uid="{00000000-0002-0000-0300-000001000000}">
      <formula1>"Good,Under Maintenance,Requires Attention"</formula1>
      <formula2>0</formula2>
    </dataValidation>
    <dataValidation type="list" allowBlank="1" sqref="C13:C17" xr:uid="{00000000-0002-0000-0300-000002000000}">
      <formula1>"Maintenance,Renovation"</formula1>
      <formula2>0</formula2>
    </dataValidation>
    <dataValidation type="list" allowBlank="1" sqref="E20" xr:uid="{00000000-0002-0000-0300-000003000000}">
      <formula1>"Approved,Rejected"</formula1>
      <formula2>0</formula2>
    </dataValidation>
  </dataValidations>
  <pageMargins left="0.5" right="0.5" top="1" bottom="1" header="0.511811023622047" footer="0.5"/>
  <pageSetup paperSize="9" fitToHeight="0" orientation="portrait" horizontalDpi="300" verticalDpi="300"/>
  <headerFooter>
    <oddFooter>&amp;LPP-03 | Crest Point Consulting Group&amp;CPage &amp;P of &amp;N&amp;RStrictly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3864"/>
    <pageSetUpPr fitToPage="1"/>
  </sheetPr>
  <dimension ref="A1:F30"/>
  <sheetViews>
    <sheetView showGridLines="0" zoomScaleNormal="100" workbookViewId="0">
      <selection sqref="A1:B3"/>
    </sheetView>
  </sheetViews>
  <sheetFormatPr defaultColWidth="8.68359375" defaultRowHeight="14.4" x14ac:dyDescent="0.55000000000000004"/>
  <cols>
    <col min="1" max="1" width="7" customWidth="1"/>
    <col min="2" max="2" width="16" customWidth="1"/>
    <col min="3" max="3" width="32" customWidth="1"/>
    <col min="4" max="4" width="36" customWidth="1"/>
    <col min="5" max="6" width="17" customWidth="1"/>
  </cols>
  <sheetData>
    <row r="1" spans="1:6" ht="43.5" customHeight="1" x14ac:dyDescent="0.55000000000000004">
      <c r="A1" s="6" t="s">
        <v>94</v>
      </c>
      <c r="B1" s="6"/>
      <c r="C1" s="5" t="s">
        <v>0</v>
      </c>
      <c r="D1" s="5"/>
      <c r="E1" s="5"/>
      <c r="F1" s="5"/>
    </row>
    <row r="2" spans="1:6" ht="21.75" customHeight="1" x14ac:dyDescent="0.55000000000000004">
      <c r="A2" s="6"/>
      <c r="B2" s="6"/>
      <c r="C2" s="4" t="s">
        <v>216</v>
      </c>
      <c r="D2" s="4"/>
      <c r="E2" s="4"/>
      <c r="F2" s="4"/>
    </row>
    <row r="3" spans="1:6" ht="30.75" customHeight="1" x14ac:dyDescent="0.55000000000000004">
      <c r="A3" s="6"/>
      <c r="B3" s="6"/>
      <c r="C3" s="3" t="s">
        <v>217</v>
      </c>
      <c r="D3" s="3"/>
      <c r="E3" s="3"/>
      <c r="F3" s="3"/>
    </row>
    <row r="5" spans="1:6" ht="18" customHeight="1" x14ac:dyDescent="0.55000000000000004">
      <c r="A5" s="2" t="s">
        <v>218</v>
      </c>
      <c r="B5" s="2"/>
      <c r="C5" s="2"/>
      <c r="D5" s="2"/>
      <c r="E5" s="2"/>
      <c r="F5" s="2"/>
    </row>
    <row r="6" spans="1:6" ht="19.5" customHeight="1" x14ac:dyDescent="0.55000000000000004">
      <c r="A6" s="9" t="s">
        <v>219</v>
      </c>
      <c r="B6" s="9"/>
      <c r="C6" s="24" t="s">
        <v>220</v>
      </c>
      <c r="D6" s="13" t="s">
        <v>183</v>
      </c>
      <c r="E6" s="1" t="s">
        <v>147</v>
      </c>
      <c r="F6" s="1"/>
    </row>
    <row r="7" spans="1:6" ht="19.5" customHeight="1" x14ac:dyDescent="0.55000000000000004">
      <c r="A7" s="9" t="s">
        <v>221</v>
      </c>
      <c r="B7" s="9"/>
      <c r="C7" s="24" t="s">
        <v>222</v>
      </c>
      <c r="D7" s="13" t="s">
        <v>223</v>
      </c>
      <c r="E7" s="1" t="s">
        <v>224</v>
      </c>
      <c r="F7" s="1"/>
    </row>
    <row r="8" spans="1:6" ht="19.5" customHeight="1" x14ac:dyDescent="0.55000000000000004">
      <c r="A8" s="9" t="s">
        <v>225</v>
      </c>
      <c r="B8" s="9"/>
      <c r="C8" s="26">
        <v>46023</v>
      </c>
      <c r="D8" s="13" t="s">
        <v>226</v>
      </c>
      <c r="E8" s="43">
        <v>46387</v>
      </c>
      <c r="F8" s="43"/>
    </row>
    <row r="9" spans="1:6" ht="30.75" customHeight="1" x14ac:dyDescent="0.55000000000000004">
      <c r="A9" s="9" t="s">
        <v>227</v>
      </c>
      <c r="B9" s="9"/>
      <c r="C9" s="27">
        <v>100000</v>
      </c>
      <c r="D9" s="13" t="s">
        <v>228</v>
      </c>
      <c r="E9" s="1" t="s">
        <v>229</v>
      </c>
      <c r="F9" s="1"/>
    </row>
    <row r="11" spans="1:6" ht="18" customHeight="1" x14ac:dyDescent="0.55000000000000004">
      <c r="A11" s="2" t="s">
        <v>230</v>
      </c>
      <c r="B11" s="2"/>
      <c r="C11" s="2"/>
      <c r="D11" s="2"/>
      <c r="E11" s="2"/>
      <c r="F11" s="2"/>
    </row>
    <row r="12" spans="1:6" ht="31.5" customHeight="1" x14ac:dyDescent="0.55000000000000004">
      <c r="A12" s="9" t="s">
        <v>231</v>
      </c>
      <c r="B12" s="9"/>
      <c r="C12" s="23">
        <f>DATEDIF(C8,E8+1,"m")</f>
        <v>12</v>
      </c>
      <c r="D12" s="13" t="s">
        <v>232</v>
      </c>
      <c r="E12" s="49">
        <f>C9*C12</f>
        <v>1200000</v>
      </c>
      <c r="F12" s="49"/>
    </row>
    <row r="13" spans="1:6" ht="30.75" customHeight="1" x14ac:dyDescent="0.55000000000000004">
      <c r="A13" s="9" t="s">
        <v>233</v>
      </c>
      <c r="B13" s="9"/>
      <c r="C13" s="23">
        <f>IF(E9="Monthly",1,IF(E9="Quarterly",3,12))</f>
        <v>1</v>
      </c>
      <c r="D13" s="13" t="s">
        <v>234</v>
      </c>
      <c r="E13" s="49">
        <f>C9*C13</f>
        <v>100000</v>
      </c>
      <c r="F13" s="49"/>
    </row>
    <row r="14" spans="1:6" ht="30.75" customHeight="1" x14ac:dyDescent="0.55000000000000004">
      <c r="A14" s="9" t="s">
        <v>235</v>
      </c>
      <c r="B14" s="9"/>
      <c r="C14" s="30">
        <v>0.04</v>
      </c>
      <c r="D14" s="13" t="s">
        <v>236</v>
      </c>
      <c r="E14" s="44" t="s">
        <v>237</v>
      </c>
      <c r="F14" s="44"/>
    </row>
    <row r="15" spans="1:6" ht="19.5" customHeight="1" x14ac:dyDescent="0.55000000000000004">
      <c r="A15" s="9" t="s">
        <v>238</v>
      </c>
      <c r="B15" s="9"/>
      <c r="C15" s="24" t="s">
        <v>130</v>
      </c>
      <c r="D15" s="13" t="s">
        <v>117</v>
      </c>
      <c r="E15" s="1" t="s">
        <v>239</v>
      </c>
      <c r="F15" s="1"/>
    </row>
    <row r="17" spans="1:6" ht="18" customHeight="1" x14ac:dyDescent="0.55000000000000004">
      <c r="A17" s="2" t="s">
        <v>169</v>
      </c>
      <c r="B17" s="2"/>
      <c r="C17" s="2"/>
      <c r="D17" s="2"/>
      <c r="E17" s="2"/>
      <c r="F17" s="2"/>
    </row>
    <row r="18" spans="1:6" ht="30.75" customHeight="1" x14ac:dyDescent="0.55000000000000004">
      <c r="A18" s="9" t="s">
        <v>127</v>
      </c>
      <c r="B18" s="9"/>
      <c r="C18" s="24" t="s">
        <v>128</v>
      </c>
      <c r="D18" s="13" t="s">
        <v>240</v>
      </c>
      <c r="E18" s="48">
        <v>46024</v>
      </c>
      <c r="F18" s="48"/>
    </row>
    <row r="20" spans="1:6" ht="30.75" customHeight="1" x14ac:dyDescent="0.55000000000000004">
      <c r="A20" s="45" t="s">
        <v>133</v>
      </c>
      <c r="B20" s="45"/>
      <c r="C20" s="45"/>
      <c r="D20" s="45" t="s">
        <v>134</v>
      </c>
      <c r="E20" s="45"/>
      <c r="F20" s="45"/>
    </row>
    <row r="21" spans="1:6" ht="19.5" customHeight="1" x14ac:dyDescent="0.55000000000000004">
      <c r="A21" s="8" t="s">
        <v>135</v>
      </c>
      <c r="B21" s="8"/>
      <c r="C21" s="8"/>
      <c r="D21" s="8" t="s">
        <v>135</v>
      </c>
      <c r="E21" s="8"/>
      <c r="F21" s="8"/>
    </row>
    <row r="22" spans="1:6" ht="19.5" customHeight="1" x14ac:dyDescent="0.55000000000000004">
      <c r="A22" s="8" t="s">
        <v>136</v>
      </c>
      <c r="B22" s="8"/>
      <c r="C22" s="8"/>
      <c r="D22" s="8" t="s">
        <v>136</v>
      </c>
      <c r="E22" s="8"/>
      <c r="F22" s="8"/>
    </row>
    <row r="23" spans="1:6" ht="43.5" customHeight="1" x14ac:dyDescent="0.55000000000000004">
      <c r="A23" s="46" t="s">
        <v>137</v>
      </c>
      <c r="B23" s="46"/>
      <c r="C23" s="46"/>
      <c r="D23" s="46" t="s">
        <v>137</v>
      </c>
      <c r="E23" s="46"/>
      <c r="F23" s="46"/>
    </row>
    <row r="24" spans="1:6" ht="19.5" customHeight="1" x14ac:dyDescent="0.55000000000000004">
      <c r="A24" s="8" t="s">
        <v>138</v>
      </c>
      <c r="B24" s="8"/>
      <c r="C24" s="8"/>
      <c r="D24" s="8" t="s">
        <v>138</v>
      </c>
      <c r="E24" s="8"/>
      <c r="F24" s="8"/>
    </row>
    <row r="26" spans="1:6" ht="18" customHeight="1" x14ac:dyDescent="0.55000000000000004">
      <c r="A26" s="9" t="s">
        <v>139</v>
      </c>
      <c r="B26" s="9"/>
      <c r="C26" s="9"/>
      <c r="D26" s="9"/>
      <c r="E26" s="9"/>
      <c r="F26" s="9"/>
    </row>
    <row r="27" spans="1:6" ht="43.5" customHeight="1" x14ac:dyDescent="0.55000000000000004">
      <c r="A27" s="7" t="s">
        <v>241</v>
      </c>
      <c r="B27" s="7"/>
      <c r="C27" s="7"/>
      <c r="D27" s="7"/>
      <c r="E27" s="7"/>
      <c r="F27" s="7"/>
    </row>
    <row r="28" spans="1:6" ht="33.75" customHeight="1" x14ac:dyDescent="0.55000000000000004">
      <c r="A28" s="7" t="s">
        <v>242</v>
      </c>
      <c r="B28" s="7"/>
      <c r="C28" s="7"/>
      <c r="D28" s="7"/>
      <c r="E28" s="7"/>
      <c r="F28" s="7"/>
    </row>
    <row r="29" spans="1:6" ht="33.75" customHeight="1" x14ac:dyDescent="0.55000000000000004">
      <c r="A29" s="7" t="s">
        <v>243</v>
      </c>
      <c r="B29" s="7"/>
      <c r="C29" s="7"/>
      <c r="D29" s="7"/>
      <c r="E29" s="7"/>
      <c r="F29" s="7"/>
    </row>
    <row r="30" spans="1:6" ht="43.5" customHeight="1" x14ac:dyDescent="0.55000000000000004">
      <c r="A30" s="7" t="s">
        <v>179</v>
      </c>
      <c r="B30" s="7"/>
      <c r="C30" s="7"/>
      <c r="D30" s="7"/>
      <c r="E30" s="7"/>
      <c r="F30" s="7"/>
    </row>
  </sheetData>
  <mergeCells count="40">
    <mergeCell ref="A29:F29"/>
    <mergeCell ref="A30:F30"/>
    <mergeCell ref="A24:C24"/>
    <mergeCell ref="D24:F24"/>
    <mergeCell ref="A26:F26"/>
    <mergeCell ref="A27:F27"/>
    <mergeCell ref="A28:F28"/>
    <mergeCell ref="A21:C21"/>
    <mergeCell ref="D21:F21"/>
    <mergeCell ref="A22:C22"/>
    <mergeCell ref="D22:F22"/>
    <mergeCell ref="A23:C23"/>
    <mergeCell ref="D23:F23"/>
    <mergeCell ref="A17:F17"/>
    <mergeCell ref="A18:B18"/>
    <mergeCell ref="E18:F18"/>
    <mergeCell ref="A20:C20"/>
    <mergeCell ref="D20:F20"/>
    <mergeCell ref="A13:B13"/>
    <mergeCell ref="E13:F13"/>
    <mergeCell ref="A14:B14"/>
    <mergeCell ref="E14:F14"/>
    <mergeCell ref="A15:B15"/>
    <mergeCell ref="E15:F15"/>
    <mergeCell ref="A9:B9"/>
    <mergeCell ref="E9:F9"/>
    <mergeCell ref="A11:F11"/>
    <mergeCell ref="A12:B12"/>
    <mergeCell ref="E12:F12"/>
    <mergeCell ref="A6:B6"/>
    <mergeCell ref="E6:F6"/>
    <mergeCell ref="A7:B7"/>
    <mergeCell ref="E7:F7"/>
    <mergeCell ref="A8:B8"/>
    <mergeCell ref="E8:F8"/>
    <mergeCell ref="A1:B3"/>
    <mergeCell ref="C1:F1"/>
    <mergeCell ref="C2:F2"/>
    <mergeCell ref="C3:F3"/>
    <mergeCell ref="A5:F5"/>
  </mergeCells>
  <dataValidations count="4">
    <dataValidation type="list" allowBlank="1" sqref="E7" xr:uid="{00000000-0002-0000-0400-000000000000}">
      <formula1>"Residential,Commercial - Supermarket,Commercial - Other"</formula1>
      <formula2>0</formula2>
    </dataValidation>
    <dataValidation type="list" allowBlank="1" sqref="E9" xr:uid="{00000000-0002-0000-0400-000001000000}">
      <formula1>"Monthly,Quarterly,Annual"</formula1>
      <formula2>0</formula2>
    </dataValidation>
    <dataValidation type="list" allowBlank="1" sqref="C15" xr:uid="{00000000-0002-0000-0400-000002000000}">
      <formula1>"Active,Expired,Under Renewal,Terminated"</formula1>
      <formula2>0</formula2>
    </dataValidation>
    <dataValidation type="list" allowBlank="1" sqref="C18" xr:uid="{00000000-0002-0000-0400-000003000000}">
      <formula1>"Approved,Rejected"</formula1>
      <formula2>0</formula2>
    </dataValidation>
  </dataValidations>
  <pageMargins left="0.5" right="0.5" top="1" bottom="1" header="0.511811023622047" footer="0.5"/>
  <pageSetup paperSize="9" fitToHeight="0" orientation="portrait" horizontalDpi="300" verticalDpi="300"/>
  <headerFooter>
    <oddFooter>&amp;LPP-04 | Crest Point Consulting Group&amp;CPage &amp;P of &amp;N&amp;RStrictly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3864"/>
    <pageSetUpPr fitToPage="1"/>
  </sheetPr>
  <dimension ref="A1:G24"/>
  <sheetViews>
    <sheetView showGridLines="0" zoomScaleNormal="100" workbookViewId="0">
      <selection sqref="A1:B3"/>
    </sheetView>
  </sheetViews>
  <sheetFormatPr defaultColWidth="8.68359375" defaultRowHeight="14.4" x14ac:dyDescent="0.55000000000000004"/>
  <cols>
    <col min="1" max="1" width="8" customWidth="1"/>
    <col min="2" max="2" width="16" customWidth="1"/>
    <col min="3" max="3" width="18" customWidth="1"/>
    <col min="4" max="4" width="16" customWidth="1"/>
    <col min="5" max="5" width="20" customWidth="1"/>
    <col min="6" max="7" width="34" customWidth="1"/>
  </cols>
  <sheetData>
    <row r="1" spans="1:7" ht="43.5" customHeight="1" x14ac:dyDescent="0.55000000000000004">
      <c r="A1" s="6" t="s">
        <v>94</v>
      </c>
      <c r="B1" s="6"/>
      <c r="C1" s="5" t="s">
        <v>0</v>
      </c>
      <c r="D1" s="5"/>
      <c r="E1" s="5"/>
      <c r="F1" s="5"/>
      <c r="G1" s="5"/>
    </row>
    <row r="2" spans="1:7" ht="21.75" customHeight="1" x14ac:dyDescent="0.55000000000000004">
      <c r="A2" s="6"/>
      <c r="B2" s="6"/>
      <c r="C2" s="4" t="s">
        <v>244</v>
      </c>
      <c r="D2" s="4"/>
      <c r="E2" s="4"/>
      <c r="F2" s="4"/>
      <c r="G2" s="4"/>
    </row>
    <row r="3" spans="1:7" ht="21.75" customHeight="1" x14ac:dyDescent="0.55000000000000004">
      <c r="A3" s="6"/>
      <c r="B3" s="6"/>
      <c r="C3" s="3" t="s">
        <v>245</v>
      </c>
      <c r="D3" s="3"/>
      <c r="E3" s="3"/>
      <c r="F3" s="3"/>
      <c r="G3" s="3"/>
    </row>
    <row r="5" spans="1:7" ht="19.5" customHeight="1" x14ac:dyDescent="0.55000000000000004">
      <c r="A5" s="9" t="s">
        <v>246</v>
      </c>
      <c r="B5" s="9"/>
      <c r="C5" s="23" t="s">
        <v>220</v>
      </c>
      <c r="D5" s="9" t="s">
        <v>221</v>
      </c>
      <c r="E5" s="9"/>
      <c r="F5" s="44" t="s">
        <v>222</v>
      </c>
      <c r="G5" s="44"/>
    </row>
    <row r="6" spans="1:7" ht="19.5" customHeight="1" x14ac:dyDescent="0.55000000000000004">
      <c r="A6" s="9" t="s">
        <v>225</v>
      </c>
      <c r="B6" s="9"/>
      <c r="C6" s="31">
        <v>46023</v>
      </c>
      <c r="D6" s="9" t="s">
        <v>228</v>
      </c>
      <c r="E6" s="9"/>
      <c r="F6" s="44" t="s">
        <v>229</v>
      </c>
      <c r="G6" s="44"/>
    </row>
    <row r="7" spans="1:7" ht="30.75" customHeight="1" x14ac:dyDescent="0.55000000000000004">
      <c r="A7" s="9" t="s">
        <v>227</v>
      </c>
      <c r="B7" s="9"/>
      <c r="C7" s="32">
        <v>100000</v>
      </c>
      <c r="D7" s="9" t="s">
        <v>247</v>
      </c>
      <c r="E7" s="9"/>
      <c r="F7" s="44">
        <f>IF(F6="Monthly",1,IF(F6="Quarterly",3,12))</f>
        <v>1</v>
      </c>
      <c r="G7" s="44"/>
    </row>
    <row r="8" spans="1:7" ht="19.5" customHeight="1" x14ac:dyDescent="0.55000000000000004">
      <c r="A8" s="9" t="s">
        <v>248</v>
      </c>
      <c r="B8" s="9"/>
      <c r="C8" s="30">
        <v>0.04</v>
      </c>
      <c r="D8" s="9" t="s">
        <v>249</v>
      </c>
      <c r="E8" s="9"/>
      <c r="F8" s="49">
        <f>C7*F7</f>
        <v>100000</v>
      </c>
      <c r="G8" s="49"/>
    </row>
    <row r="10" spans="1:7" ht="43.5" customHeight="1" x14ac:dyDescent="0.55000000000000004">
      <c r="A10" s="19" t="s">
        <v>197</v>
      </c>
      <c r="B10" s="19" t="s">
        <v>250</v>
      </c>
      <c r="C10" s="19" t="s">
        <v>251</v>
      </c>
      <c r="D10" s="19" t="s">
        <v>252</v>
      </c>
      <c r="E10" s="19" t="s">
        <v>253</v>
      </c>
      <c r="F10" s="19" t="s">
        <v>254</v>
      </c>
      <c r="G10" s="19" t="s">
        <v>255</v>
      </c>
    </row>
    <row r="11" spans="1:7" ht="30.75" customHeight="1" x14ac:dyDescent="0.55000000000000004">
      <c r="A11" s="20">
        <v>1</v>
      </c>
      <c r="B11" s="31">
        <f>EDATE($C$6,(0)*$F$7)</f>
        <v>46023</v>
      </c>
      <c r="C11" s="32">
        <f t="shared" ref="C11:C16" si="0">$F$8</f>
        <v>100000</v>
      </c>
      <c r="D11" s="32">
        <f t="shared" ref="D11:D16" si="1">ROUND(C11*$C$8,2)</f>
        <v>4000</v>
      </c>
      <c r="E11" s="32">
        <f t="shared" ref="E11:E16" si="2">C11-D11</f>
        <v>96000</v>
      </c>
      <c r="F11" s="23" t="s">
        <v>256</v>
      </c>
      <c r="G11" s="23" t="s">
        <v>257</v>
      </c>
    </row>
    <row r="12" spans="1:7" ht="30.75" customHeight="1" x14ac:dyDescent="0.55000000000000004">
      <c r="A12" s="20">
        <v>2</v>
      </c>
      <c r="B12" s="31">
        <f>EDATE($C$6,(1)*$F$7)</f>
        <v>46054</v>
      </c>
      <c r="C12" s="32">
        <f t="shared" si="0"/>
        <v>100000</v>
      </c>
      <c r="D12" s="32">
        <f t="shared" si="1"/>
        <v>4000</v>
      </c>
      <c r="E12" s="32">
        <f t="shared" si="2"/>
        <v>96000</v>
      </c>
      <c r="F12" s="23" t="s">
        <v>256</v>
      </c>
      <c r="G12" s="23" t="s">
        <v>257</v>
      </c>
    </row>
    <row r="13" spans="1:7" ht="30.75" customHeight="1" x14ac:dyDescent="0.55000000000000004">
      <c r="A13" s="20">
        <v>3</v>
      </c>
      <c r="B13" s="31">
        <f>EDATE($C$6,(2)*$F$7)</f>
        <v>46082</v>
      </c>
      <c r="C13" s="32">
        <f t="shared" si="0"/>
        <v>100000</v>
      </c>
      <c r="D13" s="32">
        <f t="shared" si="1"/>
        <v>4000</v>
      </c>
      <c r="E13" s="32">
        <f t="shared" si="2"/>
        <v>96000</v>
      </c>
      <c r="F13" s="23" t="s">
        <v>256</v>
      </c>
      <c r="G13" s="23" t="s">
        <v>257</v>
      </c>
    </row>
    <row r="14" spans="1:7" ht="30.75" customHeight="1" x14ac:dyDescent="0.55000000000000004">
      <c r="A14" s="20">
        <v>4</v>
      </c>
      <c r="B14" s="31">
        <f>EDATE($C$6,(3)*$F$7)</f>
        <v>46113</v>
      </c>
      <c r="C14" s="32">
        <f t="shared" si="0"/>
        <v>100000</v>
      </c>
      <c r="D14" s="32">
        <f t="shared" si="1"/>
        <v>4000</v>
      </c>
      <c r="E14" s="32">
        <f t="shared" si="2"/>
        <v>96000</v>
      </c>
      <c r="F14" s="23" t="s">
        <v>256</v>
      </c>
      <c r="G14" s="23" t="s">
        <v>257</v>
      </c>
    </row>
    <row r="15" spans="1:7" ht="30.75" customHeight="1" x14ac:dyDescent="0.55000000000000004">
      <c r="A15" s="20">
        <v>5</v>
      </c>
      <c r="B15" s="31">
        <f>EDATE($C$6,(4)*$F$7)</f>
        <v>46143</v>
      </c>
      <c r="C15" s="32">
        <f t="shared" si="0"/>
        <v>100000</v>
      </c>
      <c r="D15" s="32">
        <f t="shared" si="1"/>
        <v>4000</v>
      </c>
      <c r="E15" s="32">
        <f t="shared" si="2"/>
        <v>96000</v>
      </c>
      <c r="F15" s="23" t="s">
        <v>256</v>
      </c>
      <c r="G15" s="23" t="s">
        <v>257</v>
      </c>
    </row>
    <row r="16" spans="1:7" ht="30.75" customHeight="1" x14ac:dyDescent="0.55000000000000004">
      <c r="A16" s="20">
        <v>6</v>
      </c>
      <c r="B16" s="31">
        <f>EDATE($C$6,(5)*$F$7)</f>
        <v>46174</v>
      </c>
      <c r="C16" s="32">
        <f t="shared" si="0"/>
        <v>100000</v>
      </c>
      <c r="D16" s="32">
        <f t="shared" si="1"/>
        <v>4000</v>
      </c>
      <c r="E16" s="32">
        <f t="shared" si="2"/>
        <v>96000</v>
      </c>
      <c r="F16" s="23" t="s">
        <v>256</v>
      </c>
      <c r="G16" s="23" t="s">
        <v>257</v>
      </c>
    </row>
    <row r="17" spans="1:7" ht="18" customHeight="1" x14ac:dyDescent="0.55000000000000004">
      <c r="A17" s="50" t="s">
        <v>258</v>
      </c>
      <c r="B17" s="50"/>
      <c r="C17" s="33">
        <f>SUM(C11:C16)</f>
        <v>600000</v>
      </c>
      <c r="D17" s="33">
        <f>SUM(D11:D16)</f>
        <v>24000</v>
      </c>
      <c r="E17" s="33">
        <f>SUM(E11:E16)</f>
        <v>576000</v>
      </c>
      <c r="F17" s="51"/>
      <c r="G17" s="51"/>
    </row>
    <row r="19" spans="1:7" ht="30.75" customHeight="1" x14ac:dyDescent="0.55000000000000004">
      <c r="A19" s="52" t="s">
        <v>259</v>
      </c>
      <c r="B19" s="52"/>
      <c r="C19" s="52"/>
      <c r="D19" s="52"/>
      <c r="E19" s="52"/>
      <c r="F19" s="52"/>
      <c r="G19" s="52"/>
    </row>
    <row r="21" spans="1:7" ht="18" customHeight="1" x14ac:dyDescent="0.55000000000000004">
      <c r="A21" s="9" t="s">
        <v>139</v>
      </c>
      <c r="B21" s="9"/>
      <c r="C21" s="9"/>
      <c r="D21" s="9"/>
      <c r="E21" s="9"/>
      <c r="F21" s="9"/>
      <c r="G21" s="9"/>
    </row>
    <row r="22" spans="1:7" ht="33.75" customHeight="1" x14ac:dyDescent="0.55000000000000004">
      <c r="A22" s="7" t="s">
        <v>260</v>
      </c>
      <c r="B22" s="7"/>
      <c r="C22" s="7"/>
      <c r="D22" s="7"/>
      <c r="E22" s="7"/>
      <c r="F22" s="7"/>
      <c r="G22" s="7"/>
    </row>
    <row r="23" spans="1:7" ht="33.75" customHeight="1" x14ac:dyDescent="0.55000000000000004">
      <c r="A23" s="7" t="s">
        <v>261</v>
      </c>
      <c r="B23" s="7"/>
      <c r="C23" s="7"/>
      <c r="D23" s="7"/>
      <c r="E23" s="7"/>
      <c r="F23" s="7"/>
      <c r="G23" s="7"/>
    </row>
    <row r="24" spans="1:7" ht="33.75" customHeight="1" x14ac:dyDescent="0.55000000000000004">
      <c r="A24" s="7" t="s">
        <v>262</v>
      </c>
      <c r="B24" s="7"/>
      <c r="C24" s="7"/>
      <c r="D24" s="7"/>
      <c r="E24" s="7"/>
      <c r="F24" s="7"/>
      <c r="G24" s="7"/>
    </row>
  </sheetData>
  <mergeCells count="23">
    <mergeCell ref="A19:G19"/>
    <mergeCell ref="A21:G21"/>
    <mergeCell ref="A22:G22"/>
    <mergeCell ref="A23:G23"/>
    <mergeCell ref="A24:G24"/>
    <mergeCell ref="A8:B8"/>
    <mergeCell ref="D8:E8"/>
    <mergeCell ref="F8:G8"/>
    <mergeCell ref="A17:B17"/>
    <mergeCell ref="F17:G17"/>
    <mergeCell ref="A6:B6"/>
    <mergeCell ref="D6:E6"/>
    <mergeCell ref="F6:G6"/>
    <mergeCell ref="A7:B7"/>
    <mergeCell ref="D7:E7"/>
    <mergeCell ref="F7:G7"/>
    <mergeCell ref="A1:B3"/>
    <mergeCell ref="C1:G1"/>
    <mergeCell ref="C2:G2"/>
    <mergeCell ref="C3:G3"/>
    <mergeCell ref="A5:B5"/>
    <mergeCell ref="D5:E5"/>
    <mergeCell ref="F5:G5"/>
  </mergeCells>
  <pageMargins left="0.5" right="0.5" top="1" bottom="1" header="0.511811023622047" footer="0.5"/>
  <pageSetup paperSize="9" fitToHeight="0" orientation="landscape" horizontalDpi="300" verticalDpi="300"/>
  <headerFooter>
    <oddFooter>&amp;LPP-05 | Crest Point Consulting Group&amp;CPage &amp;P of &amp;N&amp;RStrictly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  <pageSetUpPr fitToPage="1"/>
  </sheetPr>
  <dimension ref="A1:F26"/>
  <sheetViews>
    <sheetView showGridLines="0" zoomScaleNormal="100" workbookViewId="0">
      <selection sqref="A1:B3"/>
    </sheetView>
  </sheetViews>
  <sheetFormatPr defaultColWidth="8.68359375" defaultRowHeight="14.4" x14ac:dyDescent="0.55000000000000004"/>
  <cols>
    <col min="1" max="1" width="7" customWidth="1"/>
    <col min="2" max="2" width="16" customWidth="1"/>
    <col min="3" max="3" width="32" customWidth="1"/>
    <col min="4" max="4" width="36" customWidth="1"/>
    <col min="5" max="6" width="17" customWidth="1"/>
  </cols>
  <sheetData>
    <row r="1" spans="1:6" ht="43.5" customHeight="1" x14ac:dyDescent="0.55000000000000004">
      <c r="A1" s="6" t="s">
        <v>94</v>
      </c>
      <c r="B1" s="6"/>
      <c r="C1" s="5" t="s">
        <v>0</v>
      </c>
      <c r="D1" s="5"/>
      <c r="E1" s="5"/>
      <c r="F1" s="5"/>
    </row>
    <row r="2" spans="1:6" ht="21.75" customHeight="1" x14ac:dyDescent="0.55000000000000004">
      <c r="A2" s="6"/>
      <c r="B2" s="6"/>
      <c r="C2" s="4" t="s">
        <v>263</v>
      </c>
      <c r="D2" s="4"/>
      <c r="E2" s="4"/>
      <c r="F2" s="4"/>
    </row>
    <row r="3" spans="1:6" ht="30.75" customHeight="1" x14ac:dyDescent="0.55000000000000004">
      <c r="A3" s="6"/>
      <c r="B3" s="6"/>
      <c r="C3" s="3" t="s">
        <v>264</v>
      </c>
      <c r="D3" s="3"/>
      <c r="E3" s="3"/>
      <c r="F3" s="3"/>
    </row>
    <row r="5" spans="1:6" ht="18" customHeight="1" x14ac:dyDescent="0.55000000000000004">
      <c r="A5" s="2" t="s">
        <v>265</v>
      </c>
      <c r="B5" s="2"/>
      <c r="C5" s="2"/>
      <c r="D5" s="2"/>
      <c r="E5" s="2"/>
      <c r="F5" s="2"/>
    </row>
    <row r="6" spans="1:6" ht="19.5" customHeight="1" x14ac:dyDescent="0.55000000000000004">
      <c r="A6" s="9" t="s">
        <v>266</v>
      </c>
      <c r="B6" s="9"/>
      <c r="C6" s="23" t="s">
        <v>267</v>
      </c>
      <c r="D6" s="13" t="s">
        <v>268</v>
      </c>
      <c r="E6" s="48">
        <v>46309</v>
      </c>
      <c r="F6" s="48"/>
    </row>
    <row r="7" spans="1:6" ht="19.5" customHeight="1" x14ac:dyDescent="0.55000000000000004">
      <c r="A7" s="9" t="s">
        <v>221</v>
      </c>
      <c r="B7" s="9"/>
      <c r="C7" s="24" t="s">
        <v>222</v>
      </c>
      <c r="D7" s="13" t="s">
        <v>219</v>
      </c>
      <c r="E7" s="1" t="s">
        <v>220</v>
      </c>
      <c r="F7" s="1"/>
    </row>
    <row r="8" spans="1:6" ht="43.5" customHeight="1" x14ac:dyDescent="0.55000000000000004">
      <c r="A8" s="9" t="s">
        <v>269</v>
      </c>
      <c r="B8" s="9"/>
      <c r="C8" s="24" t="s">
        <v>270</v>
      </c>
      <c r="D8" s="13" t="s">
        <v>271</v>
      </c>
      <c r="E8" s="43">
        <v>46308</v>
      </c>
      <c r="F8" s="43"/>
    </row>
    <row r="9" spans="1:6" ht="19.5" customHeight="1" x14ac:dyDescent="0.55000000000000004">
      <c r="A9" s="9" t="s">
        <v>272</v>
      </c>
      <c r="B9" s="9"/>
      <c r="C9" s="27">
        <v>100000</v>
      </c>
      <c r="D9" s="13" t="s">
        <v>273</v>
      </c>
      <c r="E9" s="43">
        <v>46296</v>
      </c>
      <c r="F9" s="43"/>
    </row>
    <row r="10" spans="1:6" ht="30.75" customHeight="1" x14ac:dyDescent="0.55000000000000004">
      <c r="A10" s="9" t="s">
        <v>274</v>
      </c>
      <c r="B10" s="9"/>
      <c r="C10" s="32">
        <v>100000</v>
      </c>
      <c r="D10" s="13" t="s">
        <v>275</v>
      </c>
      <c r="E10" s="49">
        <f>C10-C9</f>
        <v>0</v>
      </c>
      <c r="F10" s="49"/>
    </row>
    <row r="11" spans="1:6" ht="19.5" customHeight="1" x14ac:dyDescent="0.55000000000000004">
      <c r="A11" s="9" t="s">
        <v>276</v>
      </c>
      <c r="B11" s="9"/>
      <c r="C11" s="23" t="s">
        <v>277</v>
      </c>
      <c r="D11" s="13" t="s">
        <v>278</v>
      </c>
      <c r="E11" s="44" t="s">
        <v>279</v>
      </c>
      <c r="F11" s="44"/>
    </row>
    <row r="13" spans="1:6" ht="18" customHeight="1" x14ac:dyDescent="0.55000000000000004">
      <c r="A13" s="2" t="s">
        <v>280</v>
      </c>
      <c r="B13" s="2"/>
      <c r="C13" s="2"/>
      <c r="D13" s="2"/>
      <c r="E13" s="2"/>
      <c r="F13" s="2"/>
    </row>
    <row r="14" spans="1:6" ht="21.75" customHeight="1" x14ac:dyDescent="0.55000000000000004">
      <c r="A14" s="9" t="s">
        <v>281</v>
      </c>
      <c r="B14" s="9"/>
      <c r="C14" s="44" t="s">
        <v>282</v>
      </c>
      <c r="D14" s="44"/>
      <c r="E14" s="44"/>
      <c r="F14" s="44"/>
    </row>
    <row r="15" spans="1:6" ht="33.75" customHeight="1" x14ac:dyDescent="0.55000000000000004">
      <c r="A15" s="9" t="s">
        <v>283</v>
      </c>
      <c r="B15" s="9"/>
      <c r="C15" s="44" t="s">
        <v>284</v>
      </c>
      <c r="D15" s="44"/>
      <c r="E15" s="44"/>
      <c r="F15" s="44"/>
    </row>
    <row r="17" spans="1:6" ht="30.75" customHeight="1" x14ac:dyDescent="0.55000000000000004">
      <c r="A17" s="45" t="s">
        <v>285</v>
      </c>
      <c r="B17" s="45"/>
      <c r="C17" s="45"/>
      <c r="D17" s="45" t="s">
        <v>286</v>
      </c>
      <c r="E17" s="45"/>
      <c r="F17" s="45"/>
    </row>
    <row r="18" spans="1:6" ht="19.5" customHeight="1" x14ac:dyDescent="0.55000000000000004">
      <c r="A18" s="8" t="s">
        <v>135</v>
      </c>
      <c r="B18" s="8"/>
      <c r="C18" s="8"/>
      <c r="D18" s="8" t="s">
        <v>135</v>
      </c>
      <c r="E18" s="8"/>
      <c r="F18" s="8"/>
    </row>
    <row r="19" spans="1:6" ht="19.5" customHeight="1" x14ac:dyDescent="0.55000000000000004">
      <c r="A19" s="8" t="s">
        <v>136</v>
      </c>
      <c r="B19" s="8"/>
      <c r="C19" s="8"/>
      <c r="D19" s="8" t="s">
        <v>136</v>
      </c>
      <c r="E19" s="8"/>
      <c r="F19" s="8"/>
    </row>
    <row r="20" spans="1:6" ht="43.5" customHeight="1" x14ac:dyDescent="0.55000000000000004">
      <c r="A20" s="46" t="s">
        <v>137</v>
      </c>
      <c r="B20" s="46"/>
      <c r="C20" s="46"/>
      <c r="D20" s="46" t="s">
        <v>137</v>
      </c>
      <c r="E20" s="46"/>
      <c r="F20" s="46"/>
    </row>
    <row r="21" spans="1:6" ht="19.5" customHeight="1" x14ac:dyDescent="0.55000000000000004">
      <c r="A21" s="8" t="s">
        <v>138</v>
      </c>
      <c r="B21" s="8"/>
      <c r="C21" s="8"/>
      <c r="D21" s="8" t="s">
        <v>138</v>
      </c>
      <c r="E21" s="8"/>
      <c r="F21" s="8"/>
    </row>
    <row r="23" spans="1:6" ht="18" customHeight="1" x14ac:dyDescent="0.55000000000000004">
      <c r="A23" s="9" t="s">
        <v>139</v>
      </c>
      <c r="B23" s="9"/>
      <c r="C23" s="9"/>
      <c r="D23" s="9"/>
      <c r="E23" s="9"/>
      <c r="F23" s="9"/>
    </row>
    <row r="24" spans="1:6" ht="33.75" customHeight="1" x14ac:dyDescent="0.55000000000000004">
      <c r="A24" s="7" t="s">
        <v>287</v>
      </c>
      <c r="B24" s="7"/>
      <c r="C24" s="7"/>
      <c r="D24" s="7"/>
      <c r="E24" s="7"/>
      <c r="F24" s="7"/>
    </row>
    <row r="25" spans="1:6" ht="43.5" customHeight="1" x14ac:dyDescent="0.55000000000000004">
      <c r="A25" s="7" t="s">
        <v>288</v>
      </c>
      <c r="B25" s="7"/>
      <c r="C25" s="7"/>
      <c r="D25" s="7"/>
      <c r="E25" s="7"/>
      <c r="F25" s="7"/>
    </row>
    <row r="26" spans="1:6" ht="33.75" customHeight="1" x14ac:dyDescent="0.55000000000000004">
      <c r="A26" s="7" t="s">
        <v>289</v>
      </c>
      <c r="B26" s="7"/>
      <c r="C26" s="7"/>
      <c r="D26" s="7"/>
      <c r="E26" s="7"/>
      <c r="F26" s="7"/>
    </row>
  </sheetData>
  <mergeCells count="36">
    <mergeCell ref="A24:F24"/>
    <mergeCell ref="A25:F25"/>
    <mergeCell ref="A26:F26"/>
    <mergeCell ref="A20:C20"/>
    <mergeCell ref="D20:F20"/>
    <mergeCell ref="A21:C21"/>
    <mergeCell ref="D21:F21"/>
    <mergeCell ref="A23:F23"/>
    <mergeCell ref="A17:C17"/>
    <mergeCell ref="D17:F17"/>
    <mergeCell ref="A18:C18"/>
    <mergeCell ref="D18:F18"/>
    <mergeCell ref="A19:C19"/>
    <mergeCell ref="D19:F19"/>
    <mergeCell ref="A13:F13"/>
    <mergeCell ref="A14:B14"/>
    <mergeCell ref="C14:F14"/>
    <mergeCell ref="A15:B15"/>
    <mergeCell ref="C15:F15"/>
    <mergeCell ref="A9:B9"/>
    <mergeCell ref="E9:F9"/>
    <mergeCell ref="A10:B10"/>
    <mergeCell ref="E10:F10"/>
    <mergeCell ref="A11:B11"/>
    <mergeCell ref="E11:F11"/>
    <mergeCell ref="A6:B6"/>
    <mergeCell ref="E6:F6"/>
    <mergeCell ref="A7:B7"/>
    <mergeCell ref="E7:F7"/>
    <mergeCell ref="A8:B8"/>
    <mergeCell ref="E8:F8"/>
    <mergeCell ref="A1:B3"/>
    <mergeCell ref="C1:F1"/>
    <mergeCell ref="C2:F2"/>
    <mergeCell ref="C3:F3"/>
    <mergeCell ref="A5:F5"/>
  </mergeCells>
  <pageMargins left="0.5" right="0.5" top="1" bottom="1" header="0.511811023622047" footer="0.5"/>
  <pageSetup paperSize="9" fitToHeight="0" orientation="portrait" horizontalDpi="300" verticalDpi="300"/>
  <headerFooter>
    <oddFooter>&amp;LPP-06 | Crest Point Consulting Group&amp;CPage &amp;P of &amp;N&amp;RStrictly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3864"/>
    <pageSetUpPr fitToPage="1"/>
  </sheetPr>
  <dimension ref="A1:F28"/>
  <sheetViews>
    <sheetView showGridLines="0" zoomScaleNormal="100" workbookViewId="0">
      <selection sqref="A1:B3"/>
    </sheetView>
  </sheetViews>
  <sheetFormatPr defaultColWidth="8.68359375" defaultRowHeight="14.4" x14ac:dyDescent="0.55000000000000004"/>
  <cols>
    <col min="1" max="1" width="7" customWidth="1"/>
    <col min="2" max="2" width="16" customWidth="1"/>
    <col min="3" max="3" width="32" customWidth="1"/>
    <col min="4" max="4" width="36" customWidth="1"/>
    <col min="5" max="6" width="17" customWidth="1"/>
  </cols>
  <sheetData>
    <row r="1" spans="1:6" ht="43.5" customHeight="1" x14ac:dyDescent="0.55000000000000004">
      <c r="A1" s="6" t="s">
        <v>94</v>
      </c>
      <c r="B1" s="6"/>
      <c r="C1" s="5" t="s">
        <v>0</v>
      </c>
      <c r="D1" s="5"/>
      <c r="E1" s="5"/>
      <c r="F1" s="5"/>
    </row>
    <row r="2" spans="1:6" ht="21.75" customHeight="1" x14ac:dyDescent="0.55000000000000004">
      <c r="A2" s="6"/>
      <c r="B2" s="6"/>
      <c r="C2" s="4" t="s">
        <v>290</v>
      </c>
      <c r="D2" s="4"/>
      <c r="E2" s="4"/>
      <c r="F2" s="4"/>
    </row>
    <row r="3" spans="1:6" ht="21.75" customHeight="1" x14ac:dyDescent="0.55000000000000004">
      <c r="A3" s="6"/>
      <c r="B3" s="6"/>
      <c r="C3" s="3" t="s">
        <v>291</v>
      </c>
      <c r="D3" s="3"/>
      <c r="E3" s="3"/>
      <c r="F3" s="3"/>
    </row>
    <row r="5" spans="1:6" ht="19.5" customHeight="1" x14ac:dyDescent="0.55000000000000004">
      <c r="A5" s="9" t="s">
        <v>292</v>
      </c>
      <c r="B5" s="9"/>
      <c r="C5" s="23" t="s">
        <v>293</v>
      </c>
      <c r="D5" s="13" t="s">
        <v>294</v>
      </c>
      <c r="E5" s="48">
        <v>46309</v>
      </c>
      <c r="F5" s="48"/>
    </row>
    <row r="6" spans="1:6" ht="19.5" customHeight="1" x14ac:dyDescent="0.55000000000000004">
      <c r="A6" s="9" t="s">
        <v>266</v>
      </c>
      <c r="B6" s="9"/>
      <c r="C6" s="23" t="s">
        <v>267</v>
      </c>
      <c r="D6" s="13" t="s">
        <v>221</v>
      </c>
      <c r="E6" s="44" t="s">
        <v>222</v>
      </c>
      <c r="F6" s="44"/>
    </row>
    <row r="7" spans="1:6" ht="30.75" customHeight="1" x14ac:dyDescent="0.55000000000000004">
      <c r="A7" s="9" t="s">
        <v>295</v>
      </c>
      <c r="B7" s="9"/>
      <c r="C7" s="27">
        <v>100000</v>
      </c>
      <c r="D7" s="13" t="s">
        <v>296</v>
      </c>
      <c r="E7" s="49">
        <v>100000</v>
      </c>
      <c r="F7" s="49"/>
    </row>
    <row r="8" spans="1:6" ht="30.75" customHeight="1" x14ac:dyDescent="0.55000000000000004">
      <c r="A8" s="9" t="s">
        <v>297</v>
      </c>
      <c r="B8" s="9"/>
      <c r="C8" s="32">
        <v>100000</v>
      </c>
      <c r="D8" s="13" t="s">
        <v>298</v>
      </c>
      <c r="E8" s="1" t="s">
        <v>299</v>
      </c>
      <c r="F8" s="1"/>
    </row>
    <row r="10" spans="1:6" ht="18" customHeight="1" x14ac:dyDescent="0.55000000000000004">
      <c r="A10" s="2" t="s">
        <v>300</v>
      </c>
      <c r="B10" s="2"/>
      <c r="C10" s="2"/>
      <c r="D10" s="2"/>
      <c r="E10" s="2"/>
      <c r="F10" s="2"/>
    </row>
    <row r="11" spans="1:6" ht="18" customHeight="1" x14ac:dyDescent="0.55000000000000004">
      <c r="A11" s="35" t="s">
        <v>197</v>
      </c>
      <c r="B11" s="9" t="s">
        <v>301</v>
      </c>
      <c r="C11" s="9"/>
      <c r="D11" s="9"/>
      <c r="E11" s="35" t="s">
        <v>302</v>
      </c>
      <c r="F11" s="13" t="s">
        <v>303</v>
      </c>
    </row>
    <row r="12" spans="1:6" ht="31.5" customHeight="1" x14ac:dyDescent="0.55000000000000004">
      <c r="A12" s="20">
        <v>1</v>
      </c>
      <c r="B12" s="8" t="s">
        <v>304</v>
      </c>
      <c r="C12" s="8"/>
      <c r="D12" s="8"/>
      <c r="E12" s="16" t="str">
        <f>IF(C7=E7,"Yes","No")</f>
        <v>Yes</v>
      </c>
      <c r="F12" s="24"/>
    </row>
    <row r="13" spans="1:6" ht="31.5" customHeight="1" x14ac:dyDescent="0.55000000000000004">
      <c r="A13" s="20">
        <v>2</v>
      </c>
      <c r="B13" s="8" t="s">
        <v>305</v>
      </c>
      <c r="C13" s="8"/>
      <c r="D13" s="8"/>
      <c r="E13" s="16" t="str">
        <f>IF(AND(E8="Yes",E7&lt;=C8),"Yes","No")</f>
        <v>Yes</v>
      </c>
      <c r="F13" s="24"/>
    </row>
    <row r="14" spans="1:6" ht="21.75" customHeight="1" x14ac:dyDescent="0.55000000000000004">
      <c r="A14" s="9" t="s">
        <v>306</v>
      </c>
      <c r="B14" s="9"/>
      <c r="C14" s="44" t="str">
        <f>IF(COUNTBLANK(E12:E13)&gt;0,"INCOMPLETE",IF(COUNTIF(E12:E13,"No")&gt;0,"REJECT","VERIFY"))</f>
        <v>VERIFY</v>
      </c>
      <c r="D14" s="44"/>
      <c r="E14" s="44"/>
      <c r="F14" s="44"/>
    </row>
    <row r="15" spans="1:6" ht="30.75" customHeight="1" x14ac:dyDescent="0.55000000000000004">
      <c r="A15" s="9" t="s">
        <v>307</v>
      </c>
      <c r="B15" s="9"/>
      <c r="C15" s="24" t="s">
        <v>308</v>
      </c>
      <c r="D15" s="13" t="s">
        <v>240</v>
      </c>
      <c r="E15" s="48">
        <v>46309</v>
      </c>
      <c r="F15" s="48"/>
    </row>
    <row r="16" spans="1:6" ht="33.75" customHeight="1" x14ac:dyDescent="0.55000000000000004">
      <c r="A16" s="9" t="s">
        <v>309</v>
      </c>
      <c r="B16" s="9"/>
      <c r="C16" s="1"/>
      <c r="D16" s="1"/>
      <c r="E16" s="1"/>
      <c r="F16" s="1"/>
    </row>
    <row r="17" spans="1:6" ht="33.75" customHeight="1" x14ac:dyDescent="0.55000000000000004">
      <c r="A17" s="9" t="s">
        <v>310</v>
      </c>
      <c r="B17" s="9"/>
      <c r="C17" s="44" t="s">
        <v>311</v>
      </c>
      <c r="D17" s="44"/>
      <c r="E17" s="44"/>
      <c r="F17" s="44"/>
    </row>
    <row r="18" spans="1:6" ht="39.75" customHeight="1" x14ac:dyDescent="0.55000000000000004">
      <c r="A18" s="9" t="s">
        <v>312</v>
      </c>
      <c r="B18" s="9"/>
      <c r="C18" s="44" t="s">
        <v>313</v>
      </c>
      <c r="D18" s="44"/>
      <c r="E18" s="44"/>
      <c r="F18" s="44"/>
    </row>
    <row r="20" spans="1:6" ht="30.75" customHeight="1" x14ac:dyDescent="0.55000000000000004">
      <c r="A20" s="45" t="s">
        <v>285</v>
      </c>
      <c r="B20" s="45"/>
      <c r="C20" s="45"/>
      <c r="D20" s="45" t="s">
        <v>286</v>
      </c>
      <c r="E20" s="45"/>
      <c r="F20" s="45"/>
    </row>
    <row r="21" spans="1:6" ht="19.5" customHeight="1" x14ac:dyDescent="0.55000000000000004">
      <c r="A21" s="8" t="s">
        <v>135</v>
      </c>
      <c r="B21" s="8"/>
      <c r="C21" s="8"/>
      <c r="D21" s="8" t="s">
        <v>135</v>
      </c>
      <c r="E21" s="8"/>
      <c r="F21" s="8"/>
    </row>
    <row r="22" spans="1:6" ht="19.5" customHeight="1" x14ac:dyDescent="0.55000000000000004">
      <c r="A22" s="8" t="s">
        <v>136</v>
      </c>
      <c r="B22" s="8"/>
      <c r="C22" s="8"/>
      <c r="D22" s="8" t="s">
        <v>136</v>
      </c>
      <c r="E22" s="8"/>
      <c r="F22" s="8"/>
    </row>
    <row r="23" spans="1:6" ht="43.5" customHeight="1" x14ac:dyDescent="0.55000000000000004">
      <c r="A23" s="46" t="s">
        <v>137</v>
      </c>
      <c r="B23" s="46"/>
      <c r="C23" s="46"/>
      <c r="D23" s="46" t="s">
        <v>137</v>
      </c>
      <c r="E23" s="46"/>
      <c r="F23" s="46"/>
    </row>
    <row r="24" spans="1:6" ht="19.5" customHeight="1" x14ac:dyDescent="0.55000000000000004">
      <c r="A24" s="8" t="s">
        <v>138</v>
      </c>
      <c r="B24" s="8"/>
      <c r="C24" s="8"/>
      <c r="D24" s="8" t="s">
        <v>138</v>
      </c>
      <c r="E24" s="8"/>
      <c r="F24" s="8"/>
    </row>
    <row r="26" spans="1:6" ht="18" customHeight="1" x14ac:dyDescent="0.55000000000000004">
      <c r="A26" s="9" t="s">
        <v>139</v>
      </c>
      <c r="B26" s="9"/>
      <c r="C26" s="9"/>
      <c r="D26" s="9"/>
      <c r="E26" s="9"/>
      <c r="F26" s="9"/>
    </row>
    <row r="27" spans="1:6" ht="30.75" customHeight="1" x14ac:dyDescent="0.55000000000000004">
      <c r="A27" s="7" t="s">
        <v>314</v>
      </c>
      <c r="B27" s="7"/>
      <c r="C27" s="7"/>
      <c r="D27" s="7"/>
      <c r="E27" s="7"/>
      <c r="F27" s="7"/>
    </row>
    <row r="28" spans="1:6" ht="30.75" customHeight="1" x14ac:dyDescent="0.55000000000000004">
      <c r="A28" s="7" t="s">
        <v>315</v>
      </c>
      <c r="B28" s="7"/>
      <c r="C28" s="7"/>
      <c r="D28" s="7"/>
      <c r="E28" s="7"/>
      <c r="F28" s="7"/>
    </row>
  </sheetData>
  <mergeCells count="39">
    <mergeCell ref="A26:F26"/>
    <mergeCell ref="A27:F27"/>
    <mergeCell ref="A28:F28"/>
    <mergeCell ref="A22:C22"/>
    <mergeCell ref="D22:F22"/>
    <mergeCell ref="A23:C23"/>
    <mergeCell ref="D23:F23"/>
    <mergeCell ref="A24:C24"/>
    <mergeCell ref="D24:F24"/>
    <mergeCell ref="A18:B18"/>
    <mergeCell ref="C18:F18"/>
    <mergeCell ref="A20:C20"/>
    <mergeCell ref="D20:F20"/>
    <mergeCell ref="A21:C21"/>
    <mergeCell ref="D21:F21"/>
    <mergeCell ref="A15:B15"/>
    <mergeCell ref="E15:F15"/>
    <mergeCell ref="A16:B16"/>
    <mergeCell ref="C16:F16"/>
    <mergeCell ref="A17:B17"/>
    <mergeCell ref="C17:F17"/>
    <mergeCell ref="A10:F10"/>
    <mergeCell ref="B11:D11"/>
    <mergeCell ref="B12:D12"/>
    <mergeCell ref="B13:D13"/>
    <mergeCell ref="A14:B14"/>
    <mergeCell ref="C14:F14"/>
    <mergeCell ref="A6:B6"/>
    <mergeCell ref="E6:F6"/>
    <mergeCell ref="A7:B7"/>
    <mergeCell ref="E7:F7"/>
    <mergeCell ref="A8:B8"/>
    <mergeCell ref="E8:F8"/>
    <mergeCell ref="A1:B3"/>
    <mergeCell ref="C1:F1"/>
    <mergeCell ref="C2:F2"/>
    <mergeCell ref="C3:F3"/>
    <mergeCell ref="A5:B5"/>
    <mergeCell ref="E5:F5"/>
  </mergeCells>
  <dataValidations count="2">
    <dataValidation type="list" allowBlank="1" sqref="E8" xr:uid="{00000000-0002-0000-0700-000000000000}">
      <formula1>"Yes,No"</formula1>
      <formula2>0</formula2>
    </dataValidation>
    <dataValidation type="list" allowBlank="1" sqref="C15" xr:uid="{00000000-0002-0000-0700-000001000000}">
      <formula1>"Verified,Rejected"</formula1>
      <formula2>0</formula2>
    </dataValidation>
  </dataValidations>
  <pageMargins left="0.5" right="0.5" top="1" bottom="1" header="0.511811023622047" footer="0.5"/>
  <pageSetup paperSize="9" fitToHeight="0" orientation="portrait" horizontalDpi="300" verticalDpi="300"/>
  <headerFooter>
    <oddFooter>&amp;LPP-07 | Crest Point Consulting Group&amp;CPage &amp;P of &amp;N&amp;RStrictly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F7F7F"/>
    <pageSetUpPr fitToPage="1"/>
  </sheetPr>
  <dimension ref="A1:G37"/>
  <sheetViews>
    <sheetView showGridLines="0" zoomScaleNormal="100" workbookViewId="0">
      <selection sqref="A1:B3"/>
    </sheetView>
  </sheetViews>
  <sheetFormatPr defaultColWidth="8.68359375" defaultRowHeight="14.4" x14ac:dyDescent="0.55000000000000004"/>
  <cols>
    <col min="1" max="1" width="6" customWidth="1"/>
    <col min="2" max="2" width="16" customWidth="1"/>
    <col min="3" max="4" width="18" customWidth="1"/>
    <col min="5" max="5" width="16" customWidth="1"/>
    <col min="6" max="6" width="34" customWidth="1"/>
    <col min="7" max="7" width="18" customWidth="1"/>
  </cols>
  <sheetData>
    <row r="1" spans="1:7" ht="43.5" customHeight="1" x14ac:dyDescent="0.55000000000000004">
      <c r="A1" s="6" t="s">
        <v>94</v>
      </c>
      <c r="B1" s="6"/>
      <c r="C1" s="5" t="s">
        <v>0</v>
      </c>
      <c r="D1" s="5"/>
      <c r="E1" s="5"/>
      <c r="F1" s="5"/>
      <c r="G1" s="5"/>
    </row>
    <row r="2" spans="1:7" ht="21.75" customHeight="1" x14ac:dyDescent="0.55000000000000004">
      <c r="A2" s="6"/>
      <c r="B2" s="6"/>
      <c r="C2" s="4" t="s">
        <v>316</v>
      </c>
      <c r="D2" s="4"/>
      <c r="E2" s="4"/>
      <c r="F2" s="4"/>
      <c r="G2" s="4"/>
    </row>
    <row r="3" spans="1:7" ht="21.75" customHeight="1" x14ac:dyDescent="0.55000000000000004">
      <c r="A3" s="6"/>
      <c r="B3" s="6"/>
      <c r="C3" s="3" t="s">
        <v>317</v>
      </c>
      <c r="D3" s="3"/>
      <c r="E3" s="3"/>
      <c r="F3" s="3"/>
      <c r="G3" s="3"/>
    </row>
    <row r="5" spans="1:7" ht="30.75" customHeight="1" x14ac:dyDescent="0.55000000000000004">
      <c r="A5" s="9" t="s">
        <v>221</v>
      </c>
      <c r="B5" s="9"/>
      <c r="C5" s="23" t="s">
        <v>222</v>
      </c>
      <c r="D5" s="9" t="s">
        <v>318</v>
      </c>
      <c r="E5" s="9"/>
      <c r="F5" s="44" t="s">
        <v>319</v>
      </c>
      <c r="G5" s="44"/>
    </row>
    <row r="6" spans="1:7" ht="30.75" customHeight="1" x14ac:dyDescent="0.55000000000000004">
      <c r="A6" s="9" t="s">
        <v>249</v>
      </c>
      <c r="B6" s="9"/>
      <c r="C6" s="32">
        <v>100000</v>
      </c>
      <c r="D6" s="9" t="s">
        <v>247</v>
      </c>
      <c r="E6" s="9"/>
      <c r="F6" s="44">
        <v>1</v>
      </c>
      <c r="G6" s="44"/>
    </row>
    <row r="7" spans="1:7" ht="19.5" customHeight="1" x14ac:dyDescent="0.55000000000000004">
      <c r="A7" s="9" t="s">
        <v>225</v>
      </c>
      <c r="B7" s="9"/>
      <c r="C7" s="31">
        <v>46023</v>
      </c>
      <c r="D7" s="9" t="s">
        <v>320</v>
      </c>
      <c r="E7" s="9"/>
      <c r="F7" s="43">
        <v>46309</v>
      </c>
      <c r="G7" s="43"/>
    </row>
    <row r="8" spans="1:7" ht="19.5" customHeight="1" x14ac:dyDescent="0.55000000000000004">
      <c r="A8" s="9" t="s">
        <v>321</v>
      </c>
      <c r="B8" s="9"/>
      <c r="C8" s="30">
        <v>0.04</v>
      </c>
      <c r="D8" s="9" t="s">
        <v>226</v>
      </c>
      <c r="E8" s="9"/>
      <c r="F8" s="48">
        <v>46387</v>
      </c>
      <c r="G8" s="48"/>
    </row>
    <row r="10" spans="1:7" ht="33.75" customHeight="1" x14ac:dyDescent="0.55000000000000004">
      <c r="A10" s="19" t="s">
        <v>197</v>
      </c>
      <c r="B10" s="19" t="s">
        <v>250</v>
      </c>
      <c r="C10" s="19" t="s">
        <v>322</v>
      </c>
      <c r="D10" s="19" t="s">
        <v>272</v>
      </c>
      <c r="E10" s="19" t="s">
        <v>323</v>
      </c>
      <c r="F10" s="19" t="s">
        <v>324</v>
      </c>
      <c r="G10" s="19" t="s">
        <v>325</v>
      </c>
    </row>
    <row r="11" spans="1:7" ht="19.5" customHeight="1" x14ac:dyDescent="0.55000000000000004">
      <c r="A11" s="20">
        <v>1</v>
      </c>
      <c r="B11" s="31">
        <f>$C$7</f>
        <v>46023</v>
      </c>
      <c r="C11" s="32">
        <f t="shared" ref="C11:C22" si="0">$C$6</f>
        <v>100000</v>
      </c>
      <c r="D11" s="27">
        <v>100000</v>
      </c>
      <c r="E11" s="26">
        <v>46027</v>
      </c>
      <c r="F11" s="23" t="str">
        <f t="shared" ref="F11:F22" si="1">IF(N(D11)&gt;=C11,"Paid",IF(B11&gt;$F$7,IF(B11-$F$7&lt;=5,"Due within 5 days (advance notice)","Not yet due"),IF(B11=$F$7,"DUE TODAY","OVERDUE")))</f>
        <v>Paid</v>
      </c>
      <c r="G11" s="31" t="str">
        <f t="shared" ref="G11:G22" si="2">IF(F11="Paid","",B11)</f>
        <v/>
      </c>
    </row>
    <row r="12" spans="1:7" ht="19.5" customHeight="1" x14ac:dyDescent="0.55000000000000004">
      <c r="A12" s="20">
        <v>2</v>
      </c>
      <c r="B12" s="31">
        <f t="shared" ref="B12:B22" si="3">EDATE(B11,$F$6)</f>
        <v>46054</v>
      </c>
      <c r="C12" s="32">
        <f t="shared" si="0"/>
        <v>100000</v>
      </c>
      <c r="D12" s="27">
        <v>100000</v>
      </c>
      <c r="E12" s="26">
        <v>46058</v>
      </c>
      <c r="F12" s="23" t="str">
        <f t="shared" si="1"/>
        <v>Paid</v>
      </c>
      <c r="G12" s="31" t="str">
        <f t="shared" si="2"/>
        <v/>
      </c>
    </row>
    <row r="13" spans="1:7" ht="19.5" customHeight="1" x14ac:dyDescent="0.55000000000000004">
      <c r="A13" s="20">
        <v>3</v>
      </c>
      <c r="B13" s="31">
        <f t="shared" si="3"/>
        <v>46082</v>
      </c>
      <c r="C13" s="32">
        <f t="shared" si="0"/>
        <v>100000</v>
      </c>
      <c r="D13" s="27">
        <v>100000</v>
      </c>
      <c r="E13" s="26">
        <v>46086</v>
      </c>
      <c r="F13" s="23" t="str">
        <f t="shared" si="1"/>
        <v>Paid</v>
      </c>
      <c r="G13" s="31" t="str">
        <f t="shared" si="2"/>
        <v/>
      </c>
    </row>
    <row r="14" spans="1:7" ht="19.5" customHeight="1" x14ac:dyDescent="0.55000000000000004">
      <c r="A14" s="20">
        <v>4</v>
      </c>
      <c r="B14" s="31">
        <f t="shared" si="3"/>
        <v>46113</v>
      </c>
      <c r="C14" s="32">
        <f t="shared" si="0"/>
        <v>100000</v>
      </c>
      <c r="D14" s="27">
        <v>100000</v>
      </c>
      <c r="E14" s="26">
        <v>46117</v>
      </c>
      <c r="F14" s="23" t="str">
        <f t="shared" si="1"/>
        <v>Paid</v>
      </c>
      <c r="G14" s="31" t="str">
        <f t="shared" si="2"/>
        <v/>
      </c>
    </row>
    <row r="15" spans="1:7" ht="19.5" customHeight="1" x14ac:dyDescent="0.55000000000000004">
      <c r="A15" s="20">
        <v>5</v>
      </c>
      <c r="B15" s="31">
        <f t="shared" si="3"/>
        <v>46143</v>
      </c>
      <c r="C15" s="32">
        <f t="shared" si="0"/>
        <v>100000</v>
      </c>
      <c r="D15" s="27">
        <v>100000</v>
      </c>
      <c r="E15" s="26">
        <v>46147</v>
      </c>
      <c r="F15" s="23" t="str">
        <f t="shared" si="1"/>
        <v>Paid</v>
      </c>
      <c r="G15" s="31" t="str">
        <f t="shared" si="2"/>
        <v/>
      </c>
    </row>
    <row r="16" spans="1:7" ht="19.5" customHeight="1" x14ac:dyDescent="0.55000000000000004">
      <c r="A16" s="20">
        <v>6</v>
      </c>
      <c r="B16" s="31">
        <f t="shared" si="3"/>
        <v>46174</v>
      </c>
      <c r="C16" s="32">
        <f t="shared" si="0"/>
        <v>100000</v>
      </c>
      <c r="D16" s="27">
        <v>100000</v>
      </c>
      <c r="E16" s="26">
        <v>46178</v>
      </c>
      <c r="F16" s="23" t="str">
        <f t="shared" si="1"/>
        <v>Paid</v>
      </c>
      <c r="G16" s="31" t="str">
        <f t="shared" si="2"/>
        <v/>
      </c>
    </row>
    <row r="17" spans="1:7" ht="19.5" customHeight="1" x14ac:dyDescent="0.55000000000000004">
      <c r="A17" s="20">
        <v>7</v>
      </c>
      <c r="B17" s="31">
        <f t="shared" si="3"/>
        <v>46204</v>
      </c>
      <c r="C17" s="32">
        <f t="shared" si="0"/>
        <v>100000</v>
      </c>
      <c r="D17" s="27">
        <v>100000</v>
      </c>
      <c r="E17" s="26">
        <v>46208</v>
      </c>
      <c r="F17" s="23" t="str">
        <f t="shared" si="1"/>
        <v>Paid</v>
      </c>
      <c r="G17" s="31" t="str">
        <f t="shared" si="2"/>
        <v/>
      </c>
    </row>
    <row r="18" spans="1:7" ht="19.5" customHeight="1" x14ac:dyDescent="0.55000000000000004">
      <c r="A18" s="20">
        <v>8</v>
      </c>
      <c r="B18" s="31">
        <f t="shared" si="3"/>
        <v>46235</v>
      </c>
      <c r="C18" s="32">
        <f t="shared" si="0"/>
        <v>100000</v>
      </c>
      <c r="D18" s="27">
        <v>100000</v>
      </c>
      <c r="E18" s="26">
        <v>46239</v>
      </c>
      <c r="F18" s="23" t="str">
        <f t="shared" si="1"/>
        <v>Paid</v>
      </c>
      <c r="G18" s="31" t="str">
        <f t="shared" si="2"/>
        <v/>
      </c>
    </row>
    <row r="19" spans="1:7" ht="19.5" customHeight="1" x14ac:dyDescent="0.55000000000000004">
      <c r="A19" s="20">
        <v>9</v>
      </c>
      <c r="B19" s="31">
        <f t="shared" si="3"/>
        <v>46266</v>
      </c>
      <c r="C19" s="32">
        <f t="shared" si="0"/>
        <v>100000</v>
      </c>
      <c r="D19" s="27">
        <v>100000</v>
      </c>
      <c r="E19" s="26">
        <v>46270</v>
      </c>
      <c r="F19" s="23" t="str">
        <f t="shared" si="1"/>
        <v>Paid</v>
      </c>
      <c r="G19" s="31" t="str">
        <f t="shared" si="2"/>
        <v/>
      </c>
    </row>
    <row r="20" spans="1:7" ht="19.5" customHeight="1" x14ac:dyDescent="0.55000000000000004">
      <c r="A20" s="20">
        <v>10</v>
      </c>
      <c r="B20" s="31">
        <f t="shared" si="3"/>
        <v>46296</v>
      </c>
      <c r="C20" s="32">
        <f t="shared" si="0"/>
        <v>100000</v>
      </c>
      <c r="D20" s="36"/>
      <c r="E20" s="37"/>
      <c r="F20" s="23" t="str">
        <f t="shared" si="1"/>
        <v>OVERDUE</v>
      </c>
      <c r="G20" s="31">
        <f t="shared" si="2"/>
        <v>46296</v>
      </c>
    </row>
    <row r="21" spans="1:7" ht="19.5" customHeight="1" x14ac:dyDescent="0.55000000000000004">
      <c r="A21" s="20">
        <v>11</v>
      </c>
      <c r="B21" s="31">
        <f t="shared" si="3"/>
        <v>46327</v>
      </c>
      <c r="C21" s="32">
        <f t="shared" si="0"/>
        <v>100000</v>
      </c>
      <c r="D21" s="36"/>
      <c r="E21" s="37"/>
      <c r="F21" s="23" t="str">
        <f t="shared" si="1"/>
        <v>Not yet due</v>
      </c>
      <c r="G21" s="31">
        <f t="shared" si="2"/>
        <v>46327</v>
      </c>
    </row>
    <row r="22" spans="1:7" ht="19.5" customHeight="1" x14ac:dyDescent="0.55000000000000004">
      <c r="A22" s="20">
        <v>12</v>
      </c>
      <c r="B22" s="31">
        <f t="shared" si="3"/>
        <v>46357</v>
      </c>
      <c r="C22" s="32">
        <f t="shared" si="0"/>
        <v>100000</v>
      </c>
      <c r="D22" s="36"/>
      <c r="E22" s="37"/>
      <c r="F22" s="23" t="str">
        <f t="shared" si="1"/>
        <v>Not yet due</v>
      </c>
      <c r="G22" s="31">
        <f t="shared" si="2"/>
        <v>46357</v>
      </c>
    </row>
    <row r="24" spans="1:7" ht="18" customHeight="1" x14ac:dyDescent="0.55000000000000004">
      <c r="A24" s="2" t="s">
        <v>326</v>
      </c>
      <c r="B24" s="2"/>
      <c r="C24" s="2"/>
      <c r="D24" s="2"/>
      <c r="E24" s="2"/>
      <c r="F24" s="2"/>
      <c r="G24" s="2"/>
    </row>
    <row r="25" spans="1:7" ht="19.5" customHeight="1" x14ac:dyDescent="0.55000000000000004">
      <c r="A25" s="9" t="s">
        <v>327</v>
      </c>
      <c r="B25" s="9"/>
      <c r="C25" s="9"/>
      <c r="D25" s="32">
        <f>SUMIF(B11:B22,"&lt;="&amp;F7,C11:C22)</f>
        <v>1000000</v>
      </c>
    </row>
    <row r="26" spans="1:7" ht="19.5" customHeight="1" x14ac:dyDescent="0.55000000000000004">
      <c r="A26" s="9" t="s">
        <v>328</v>
      </c>
      <c r="B26" s="9"/>
      <c r="C26" s="9"/>
      <c r="D26" s="32">
        <f>SUM(D11:D22)</f>
        <v>900000</v>
      </c>
    </row>
    <row r="27" spans="1:7" ht="19.5" customHeight="1" x14ac:dyDescent="0.55000000000000004">
      <c r="A27" s="9" t="s">
        <v>329</v>
      </c>
      <c r="B27" s="9"/>
      <c r="C27" s="9"/>
      <c r="D27" s="32">
        <f>D25-D26</f>
        <v>100000</v>
      </c>
    </row>
    <row r="28" spans="1:7" ht="19.5" customHeight="1" x14ac:dyDescent="0.55000000000000004">
      <c r="A28" s="9" t="s">
        <v>330</v>
      </c>
      <c r="B28" s="9"/>
      <c r="C28" s="9"/>
      <c r="D28" s="32">
        <f>ROUND(D25*C8,2)</f>
        <v>40000</v>
      </c>
    </row>
    <row r="29" spans="1:7" ht="19.5" customHeight="1" x14ac:dyDescent="0.55000000000000004">
      <c r="A29" s="9" t="s">
        <v>331</v>
      </c>
      <c r="B29" s="9"/>
      <c r="C29" s="9"/>
      <c r="D29" s="31">
        <f>IF(COUNT(G11:G22)=0,"None",MIN(G11:G22))</f>
        <v>46296</v>
      </c>
    </row>
    <row r="30" spans="1:7" ht="30.75" customHeight="1" x14ac:dyDescent="0.55000000000000004">
      <c r="A30" s="9" t="s">
        <v>332</v>
      </c>
      <c r="B30" s="9"/>
      <c r="C30" s="9"/>
      <c r="D30" s="32">
        <f>SUMIF(B11:B22,"&gt;"&amp;F7,C11:C22)</f>
        <v>200000</v>
      </c>
    </row>
    <row r="31" spans="1:7" ht="19.5" customHeight="1" x14ac:dyDescent="0.55000000000000004">
      <c r="A31" s="9" t="s">
        <v>333</v>
      </c>
      <c r="B31" s="9"/>
      <c r="C31" s="9"/>
      <c r="D31" s="23">
        <f>COUNTIF(F11:F22,"Paid")</f>
        <v>9</v>
      </c>
    </row>
    <row r="32" spans="1:7" ht="19.5" customHeight="1" x14ac:dyDescent="0.55000000000000004">
      <c r="A32" s="9" t="s">
        <v>334</v>
      </c>
      <c r="B32" s="9"/>
      <c r="C32" s="9"/>
      <c r="D32" s="23">
        <f>COUNTIF(F11:F22,"OVERDUE")</f>
        <v>1</v>
      </c>
    </row>
    <row r="33" spans="1:7" ht="19.5" customHeight="1" x14ac:dyDescent="0.55000000000000004">
      <c r="A33" s="9" t="s">
        <v>335</v>
      </c>
      <c r="B33" s="9"/>
      <c r="C33" s="9"/>
      <c r="D33" s="31">
        <f>IF(COUNT(E11:E22)=0,"None",MAX(E11:E22))</f>
        <v>46270</v>
      </c>
    </row>
    <row r="35" spans="1:7" ht="18" customHeight="1" x14ac:dyDescent="0.55000000000000004">
      <c r="A35" s="9" t="s">
        <v>139</v>
      </c>
      <c r="B35" s="9"/>
      <c r="C35" s="9"/>
      <c r="D35" s="9"/>
      <c r="E35" s="9"/>
      <c r="F35" s="9"/>
      <c r="G35" s="9"/>
    </row>
    <row r="36" spans="1:7" ht="30.75" customHeight="1" x14ac:dyDescent="0.55000000000000004">
      <c r="A36" s="7" t="s">
        <v>336</v>
      </c>
      <c r="B36" s="7"/>
      <c r="C36" s="7"/>
      <c r="D36" s="7"/>
      <c r="E36" s="7"/>
      <c r="F36" s="7"/>
      <c r="G36" s="7"/>
    </row>
    <row r="37" spans="1:7" ht="30.75" customHeight="1" x14ac:dyDescent="0.55000000000000004">
      <c r="A37" s="7" t="s">
        <v>337</v>
      </c>
      <c r="B37" s="7"/>
      <c r="C37" s="7"/>
      <c r="D37" s="7"/>
      <c r="E37" s="7"/>
      <c r="F37" s="7"/>
      <c r="G37" s="7"/>
    </row>
  </sheetData>
  <mergeCells count="29">
    <mergeCell ref="A37:G37"/>
    <mergeCell ref="A31:C31"/>
    <mergeCell ref="A32:C32"/>
    <mergeCell ref="A33:C33"/>
    <mergeCell ref="A35:G35"/>
    <mergeCell ref="A36:G36"/>
    <mergeCell ref="A26:C26"/>
    <mergeCell ref="A27:C27"/>
    <mergeCell ref="A28:C28"/>
    <mergeCell ref="A29:C29"/>
    <mergeCell ref="A30:C30"/>
    <mergeCell ref="A8:B8"/>
    <mergeCell ref="D8:E8"/>
    <mergeCell ref="F8:G8"/>
    <mergeCell ref="A24:G24"/>
    <mergeCell ref="A25:C25"/>
    <mergeCell ref="A6:B6"/>
    <mergeCell ref="D6:E6"/>
    <mergeCell ref="F6:G6"/>
    <mergeCell ref="A7:B7"/>
    <mergeCell ref="D7:E7"/>
    <mergeCell ref="F7:G7"/>
    <mergeCell ref="A1:B3"/>
    <mergeCell ref="C1:G1"/>
    <mergeCell ref="C2:G2"/>
    <mergeCell ref="C3:G3"/>
    <mergeCell ref="A5:B5"/>
    <mergeCell ref="D5:E5"/>
    <mergeCell ref="F5:G5"/>
  </mergeCells>
  <pageMargins left="0.5" right="0.5" top="1" bottom="1" header="0.511811023622047" footer="0.5"/>
  <pageSetup paperSize="9" fitToHeight="0" orientation="landscape" horizontalDpi="300" verticalDpi="300"/>
  <headerFooter>
    <oddFooter>&amp;LPP-08 | Crest Point Consulting Group&amp;CPage &amp;P of &amp;N&amp;RStrictly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F3864"/>
    <pageSetUpPr fitToPage="1"/>
  </sheetPr>
  <dimension ref="A1:F27"/>
  <sheetViews>
    <sheetView showGridLines="0" zoomScaleNormal="100" workbookViewId="0">
      <selection sqref="A1:B3"/>
    </sheetView>
  </sheetViews>
  <sheetFormatPr defaultColWidth="8.68359375" defaultRowHeight="14.4" x14ac:dyDescent="0.55000000000000004"/>
  <cols>
    <col min="1" max="1" width="6" customWidth="1"/>
    <col min="2" max="2" width="28" customWidth="1"/>
    <col min="3" max="3" width="40" customWidth="1"/>
    <col min="4" max="4" width="30" customWidth="1"/>
    <col min="5" max="5" width="16" customWidth="1"/>
    <col min="6" max="6" width="46" customWidth="1"/>
  </cols>
  <sheetData>
    <row r="1" spans="1:6" ht="43.5" customHeight="1" x14ac:dyDescent="0.55000000000000004">
      <c r="A1" s="6" t="s">
        <v>94</v>
      </c>
      <c r="B1" s="6"/>
      <c r="C1" s="5" t="s">
        <v>0</v>
      </c>
      <c r="D1" s="5"/>
      <c r="E1" s="5"/>
      <c r="F1" s="5"/>
    </row>
    <row r="2" spans="1:6" ht="21.75" customHeight="1" x14ac:dyDescent="0.55000000000000004">
      <c r="A2" s="6"/>
      <c r="B2" s="6"/>
      <c r="C2" s="4" t="s">
        <v>338</v>
      </c>
      <c r="D2" s="4"/>
      <c r="E2" s="4"/>
      <c r="F2" s="4"/>
    </row>
    <row r="3" spans="1:6" ht="21.75" customHeight="1" x14ac:dyDescent="0.55000000000000004">
      <c r="A3" s="6"/>
      <c r="B3" s="6"/>
      <c r="C3" s="3" t="s">
        <v>339</v>
      </c>
      <c r="D3" s="3"/>
      <c r="E3" s="3"/>
      <c r="F3" s="3"/>
    </row>
    <row r="5" spans="1:6" ht="18" customHeight="1" x14ac:dyDescent="0.55000000000000004">
      <c r="A5" s="2" t="s">
        <v>340</v>
      </c>
      <c r="B5" s="2"/>
      <c r="C5" s="2"/>
      <c r="D5" s="2"/>
      <c r="E5" s="2"/>
      <c r="F5" s="2"/>
    </row>
    <row r="6" spans="1:6" ht="18" customHeight="1" x14ac:dyDescent="0.55000000000000004">
      <c r="A6" s="9" t="s">
        <v>341</v>
      </c>
      <c r="B6" s="9"/>
      <c r="C6" s="26">
        <v>46296</v>
      </c>
      <c r="D6" s="13" t="s">
        <v>342</v>
      </c>
      <c r="E6" s="43">
        <v>46387</v>
      </c>
      <c r="F6" s="43"/>
    </row>
    <row r="7" spans="1:6" ht="27.75" customHeight="1" x14ac:dyDescent="0.55000000000000004">
      <c r="A7" s="19" t="s">
        <v>197</v>
      </c>
      <c r="B7" s="19" t="s">
        <v>343</v>
      </c>
      <c r="C7" s="19" t="s">
        <v>344</v>
      </c>
      <c r="D7" s="19" t="s">
        <v>345</v>
      </c>
      <c r="E7" s="19" t="s">
        <v>346</v>
      </c>
      <c r="F7" s="19" t="s">
        <v>347</v>
      </c>
    </row>
    <row r="8" spans="1:6" ht="30.75" customHeight="1" x14ac:dyDescent="0.55000000000000004">
      <c r="A8" s="20">
        <v>1</v>
      </c>
      <c r="B8" s="15" t="s">
        <v>348</v>
      </c>
      <c r="C8" s="15" t="s">
        <v>349</v>
      </c>
      <c r="D8" s="15" t="s">
        <v>350</v>
      </c>
      <c r="E8" s="14">
        <v>5</v>
      </c>
      <c r="F8" s="31">
        <f>C6-E8</f>
        <v>46291</v>
      </c>
    </row>
    <row r="9" spans="1:6" ht="30.75" customHeight="1" x14ac:dyDescent="0.55000000000000004">
      <c r="A9" s="20">
        <v>2</v>
      </c>
      <c r="B9" s="15" t="s">
        <v>351</v>
      </c>
      <c r="C9" s="15" t="s">
        <v>352</v>
      </c>
      <c r="D9" s="15" t="s">
        <v>353</v>
      </c>
      <c r="E9" s="14">
        <v>0</v>
      </c>
      <c r="F9" s="31">
        <f>C6</f>
        <v>46296</v>
      </c>
    </row>
    <row r="10" spans="1:6" ht="30.75" customHeight="1" x14ac:dyDescent="0.55000000000000004">
      <c r="A10" s="20">
        <v>3</v>
      </c>
      <c r="B10" s="15" t="s">
        <v>354</v>
      </c>
      <c r="C10" s="15" t="s">
        <v>355</v>
      </c>
      <c r="D10" s="15" t="s">
        <v>353</v>
      </c>
      <c r="E10" s="14">
        <v>1</v>
      </c>
      <c r="F10" s="31">
        <f>C6+E10</f>
        <v>46297</v>
      </c>
    </row>
    <row r="11" spans="1:6" ht="30.75" customHeight="1" x14ac:dyDescent="0.55000000000000004">
      <c r="A11" s="20">
        <v>4</v>
      </c>
      <c r="B11" s="15" t="s">
        <v>356</v>
      </c>
      <c r="C11" s="15" t="s">
        <v>357</v>
      </c>
      <c r="D11" s="15" t="s">
        <v>353</v>
      </c>
      <c r="E11" s="14">
        <v>7</v>
      </c>
      <c r="F11" s="31">
        <f>C6+E10+E11</f>
        <v>46304</v>
      </c>
    </row>
    <row r="12" spans="1:6" ht="30.75" customHeight="1" x14ac:dyDescent="0.55000000000000004">
      <c r="A12" s="20">
        <v>5</v>
      </c>
      <c r="B12" s="15" t="s">
        <v>358</v>
      </c>
      <c r="C12" s="15" t="s">
        <v>359</v>
      </c>
      <c r="D12" s="15" t="s">
        <v>353</v>
      </c>
      <c r="E12" s="14">
        <v>60</v>
      </c>
      <c r="F12" s="31">
        <f>E6-E12</f>
        <v>46327</v>
      </c>
    </row>
    <row r="13" spans="1:6" ht="30.75" customHeight="1" x14ac:dyDescent="0.55000000000000004">
      <c r="A13" s="20">
        <v>6</v>
      </c>
      <c r="B13" s="15" t="s">
        <v>360</v>
      </c>
      <c r="C13" s="15" t="s">
        <v>361</v>
      </c>
      <c r="D13" s="15" t="s">
        <v>353</v>
      </c>
      <c r="E13" s="14">
        <v>14</v>
      </c>
      <c r="F13" s="31">
        <f>E6-E13</f>
        <v>46373</v>
      </c>
    </row>
    <row r="14" spans="1:6" ht="30.75" customHeight="1" x14ac:dyDescent="0.55000000000000004">
      <c r="A14" s="52" t="s">
        <v>362</v>
      </c>
      <c r="B14" s="52"/>
      <c r="C14" s="52"/>
      <c r="D14" s="52"/>
      <c r="E14" s="52"/>
      <c r="F14" s="52"/>
    </row>
    <row r="16" spans="1:6" ht="18" customHeight="1" x14ac:dyDescent="0.55000000000000004">
      <c r="A16" s="2" t="s">
        <v>363</v>
      </c>
      <c r="B16" s="2"/>
      <c r="C16" s="2"/>
      <c r="D16" s="2"/>
      <c r="E16" s="2"/>
      <c r="F16" s="2"/>
    </row>
    <row r="17" spans="1:6" ht="27.75" customHeight="1" x14ac:dyDescent="0.55000000000000004">
      <c r="A17" s="19" t="s">
        <v>197</v>
      </c>
      <c r="B17" s="19" t="s">
        <v>364</v>
      </c>
      <c r="C17" s="19" t="s">
        <v>365</v>
      </c>
      <c r="D17" s="19" t="s">
        <v>366</v>
      </c>
      <c r="E17" s="19" t="s">
        <v>278</v>
      </c>
      <c r="F17" s="19" t="s">
        <v>367</v>
      </c>
    </row>
    <row r="18" spans="1:6" ht="30.75" customHeight="1" x14ac:dyDescent="0.55000000000000004">
      <c r="A18" s="20">
        <v>1</v>
      </c>
      <c r="B18" s="26">
        <v>46298</v>
      </c>
      <c r="C18" s="24" t="s">
        <v>368</v>
      </c>
      <c r="D18" s="24" t="s">
        <v>369</v>
      </c>
      <c r="E18" s="24" t="s">
        <v>205</v>
      </c>
      <c r="F18" s="24" t="s">
        <v>370</v>
      </c>
    </row>
    <row r="19" spans="1:6" ht="30.75" customHeight="1" x14ac:dyDescent="0.55000000000000004">
      <c r="A19" s="20">
        <v>2</v>
      </c>
      <c r="B19" s="26">
        <v>46305</v>
      </c>
      <c r="C19" s="24" t="s">
        <v>371</v>
      </c>
      <c r="D19" s="24" t="s">
        <v>372</v>
      </c>
      <c r="E19" s="24" t="s">
        <v>205</v>
      </c>
      <c r="F19" s="24" t="s">
        <v>373</v>
      </c>
    </row>
    <row r="20" spans="1:6" ht="30.75" customHeight="1" x14ac:dyDescent="0.55000000000000004">
      <c r="A20" s="20">
        <v>3</v>
      </c>
      <c r="B20" s="26">
        <v>46308</v>
      </c>
      <c r="C20" s="24" t="s">
        <v>371</v>
      </c>
      <c r="D20" s="24" t="s">
        <v>374</v>
      </c>
      <c r="E20" s="24" t="s">
        <v>205</v>
      </c>
      <c r="F20" s="24" t="s">
        <v>375</v>
      </c>
    </row>
    <row r="21" spans="1:6" ht="27.75" customHeight="1" x14ac:dyDescent="0.55000000000000004">
      <c r="A21" s="20">
        <v>4</v>
      </c>
      <c r="B21" s="15"/>
      <c r="C21" s="15"/>
      <c r="D21" s="15"/>
      <c r="E21" s="15"/>
      <c r="F21" s="15"/>
    </row>
    <row r="22" spans="1:6" ht="27.75" customHeight="1" x14ac:dyDescent="0.55000000000000004">
      <c r="A22" s="20">
        <v>5</v>
      </c>
      <c r="B22" s="15"/>
      <c r="C22" s="15"/>
      <c r="D22" s="15"/>
      <c r="E22" s="15"/>
      <c r="F22" s="15"/>
    </row>
    <row r="23" spans="1:6" ht="27.75" customHeight="1" x14ac:dyDescent="0.55000000000000004">
      <c r="A23" s="20">
        <v>6</v>
      </c>
      <c r="B23" s="15"/>
      <c r="C23" s="15"/>
      <c r="D23" s="15"/>
      <c r="E23" s="15"/>
      <c r="F23" s="15"/>
    </row>
    <row r="25" spans="1:6" ht="18" customHeight="1" x14ac:dyDescent="0.55000000000000004">
      <c r="A25" s="9" t="s">
        <v>139</v>
      </c>
      <c r="B25" s="9"/>
      <c r="C25" s="9"/>
      <c r="D25" s="9"/>
      <c r="E25" s="9"/>
      <c r="F25" s="9"/>
    </row>
    <row r="26" spans="1:6" ht="33.75" customHeight="1" x14ac:dyDescent="0.55000000000000004">
      <c r="A26" s="7" t="s">
        <v>376</v>
      </c>
      <c r="B26" s="7"/>
      <c r="C26" s="7"/>
      <c r="D26" s="7"/>
      <c r="E26" s="7"/>
      <c r="F26" s="7"/>
    </row>
    <row r="27" spans="1:6" ht="33.75" customHeight="1" x14ac:dyDescent="0.55000000000000004">
      <c r="A27" s="7" t="s">
        <v>377</v>
      </c>
      <c r="B27" s="7"/>
      <c r="C27" s="7"/>
      <c r="D27" s="7"/>
      <c r="E27" s="7"/>
      <c r="F27" s="7"/>
    </row>
  </sheetData>
  <mergeCells count="12">
    <mergeCell ref="A26:F26"/>
    <mergeCell ref="A27:F27"/>
    <mergeCell ref="A6:B6"/>
    <mergeCell ref="E6:F6"/>
    <mergeCell ref="A14:F14"/>
    <mergeCell ref="A16:F16"/>
    <mergeCell ref="A25:F25"/>
    <mergeCell ref="A1:B3"/>
    <mergeCell ref="C1:F1"/>
    <mergeCell ref="C2:F2"/>
    <mergeCell ref="C3:F3"/>
    <mergeCell ref="A5:F5"/>
  </mergeCells>
  <dataValidations count="1">
    <dataValidation type="list" allowBlank="1" sqref="D18:D23" xr:uid="{00000000-0002-0000-0900-000000000000}">
      <formula1>"Phone call,Letter,In-person visit"</formula1>
      <formula2>0</formula2>
    </dataValidation>
  </dataValidations>
  <pageMargins left="0.5" right="0.5" top="1" bottom="1" header="0.511811023622047" footer="0.5"/>
  <pageSetup paperSize="9" fitToHeight="0" orientation="portrait" horizontalDpi="300" verticalDpi="300"/>
  <headerFooter>
    <oddFooter>&amp;LPP-09 | Crest Point Consulting Group&amp;CPage &amp;P of &amp;N&amp;RStrictly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F7F7F"/>
    <pageSetUpPr fitToPage="1"/>
  </sheetPr>
  <dimension ref="A1:G24"/>
  <sheetViews>
    <sheetView showGridLines="0" zoomScaleNormal="100" workbookViewId="0">
      <pane ySplit="7" topLeftCell="A8" activePane="bottomLeft" state="frozen"/>
      <selection pane="bottomLeft" sqref="A1:B3"/>
    </sheetView>
  </sheetViews>
  <sheetFormatPr defaultColWidth="8.68359375" defaultRowHeight="14.4" x14ac:dyDescent="0.55000000000000004"/>
  <cols>
    <col min="1" max="1" width="16" customWidth="1"/>
    <col min="2" max="2" width="20" customWidth="1"/>
    <col min="3" max="3" width="18" customWidth="1"/>
    <col min="4" max="5" width="20" customWidth="1"/>
    <col min="6" max="6" width="24" customWidth="1"/>
    <col min="7" max="7" width="40" customWidth="1"/>
  </cols>
  <sheetData>
    <row r="1" spans="1:7" ht="30.75" customHeight="1" x14ac:dyDescent="0.55000000000000004">
      <c r="A1" s="6" t="s">
        <v>94</v>
      </c>
      <c r="B1" s="6"/>
      <c r="C1" s="5" t="s">
        <v>0</v>
      </c>
      <c r="D1" s="5"/>
      <c r="E1" s="5"/>
      <c r="F1" s="5"/>
      <c r="G1" s="5"/>
    </row>
    <row r="2" spans="1:7" ht="21.75" customHeight="1" x14ac:dyDescent="0.55000000000000004">
      <c r="A2" s="6"/>
      <c r="B2" s="6"/>
      <c r="C2" s="4" t="s">
        <v>378</v>
      </c>
      <c r="D2" s="4"/>
      <c r="E2" s="4"/>
      <c r="F2" s="4"/>
      <c r="G2" s="4"/>
    </row>
    <row r="3" spans="1:7" ht="21.75" customHeight="1" x14ac:dyDescent="0.55000000000000004">
      <c r="A3" s="6"/>
      <c r="B3" s="6"/>
      <c r="C3" s="3" t="s">
        <v>379</v>
      </c>
      <c r="D3" s="3"/>
      <c r="E3" s="3"/>
      <c r="F3" s="3"/>
      <c r="G3" s="3"/>
    </row>
    <row r="5" spans="1:7" ht="19.5" customHeight="1" x14ac:dyDescent="0.55000000000000004">
      <c r="A5" s="9" t="s">
        <v>248</v>
      </c>
      <c r="B5" s="9"/>
      <c r="C5" s="38">
        <v>0.04</v>
      </c>
      <c r="D5" s="9" t="s">
        <v>380</v>
      </c>
      <c r="E5" s="9"/>
      <c r="F5" s="44" t="s">
        <v>381</v>
      </c>
      <c r="G5" s="44"/>
    </row>
    <row r="7" spans="1:7" ht="43.5" customHeight="1" x14ac:dyDescent="0.55000000000000004">
      <c r="A7" s="19" t="s">
        <v>382</v>
      </c>
      <c r="B7" s="19" t="s">
        <v>383</v>
      </c>
      <c r="C7" s="19" t="s">
        <v>384</v>
      </c>
      <c r="D7" s="19" t="s">
        <v>385</v>
      </c>
      <c r="E7" s="19" t="s">
        <v>386</v>
      </c>
      <c r="F7" s="19" t="s">
        <v>387</v>
      </c>
      <c r="G7" s="19" t="s">
        <v>388</v>
      </c>
    </row>
    <row r="8" spans="1:7" ht="19.5" customHeight="1" x14ac:dyDescent="0.55000000000000004">
      <c r="A8" s="39">
        <v>46023</v>
      </c>
      <c r="B8" s="27">
        <v>100000</v>
      </c>
      <c r="C8" s="32">
        <f t="shared" ref="C8:C19" si="0">IF(B8="","",ROUND(B8*$C$5,2))</f>
        <v>4000</v>
      </c>
      <c r="D8" s="27"/>
      <c r="E8" s="32">
        <f>IF(A8="","",C8-N(D8))</f>
        <v>4000</v>
      </c>
      <c r="F8" s="24"/>
      <c r="G8" s="24"/>
    </row>
    <row r="9" spans="1:7" ht="19.5" customHeight="1" x14ac:dyDescent="0.55000000000000004">
      <c r="A9" s="39">
        <v>46054</v>
      </c>
      <c r="B9" s="27">
        <v>100000</v>
      </c>
      <c r="C9" s="32">
        <f t="shared" si="0"/>
        <v>4000</v>
      </c>
      <c r="D9" s="27"/>
      <c r="E9" s="32">
        <f t="shared" ref="E9:E19" si="1">IF(A9="","",N(E8)+C9-N(D9))</f>
        <v>8000</v>
      </c>
      <c r="F9" s="24"/>
      <c r="G9" s="24"/>
    </row>
    <row r="10" spans="1:7" ht="19.5" customHeight="1" x14ac:dyDescent="0.55000000000000004">
      <c r="A10" s="39">
        <v>46082</v>
      </c>
      <c r="B10" s="27">
        <v>100000</v>
      </c>
      <c r="C10" s="32">
        <f t="shared" si="0"/>
        <v>4000</v>
      </c>
      <c r="D10" s="27"/>
      <c r="E10" s="32">
        <f t="shared" si="1"/>
        <v>12000</v>
      </c>
      <c r="F10" s="24"/>
      <c r="G10" s="24"/>
    </row>
    <row r="11" spans="1:7" ht="19.5" customHeight="1" x14ac:dyDescent="0.55000000000000004">
      <c r="A11" s="39">
        <v>46113</v>
      </c>
      <c r="B11" s="27">
        <v>100000</v>
      </c>
      <c r="C11" s="32">
        <f t="shared" si="0"/>
        <v>4000</v>
      </c>
      <c r="D11" s="27">
        <v>12000</v>
      </c>
      <c r="E11" s="32">
        <f t="shared" si="1"/>
        <v>4000</v>
      </c>
      <c r="F11" s="24" t="s">
        <v>389</v>
      </c>
      <c r="G11" s="24" t="s">
        <v>390</v>
      </c>
    </row>
    <row r="12" spans="1:7" ht="19.5" customHeight="1" x14ac:dyDescent="0.55000000000000004">
      <c r="A12" s="39">
        <v>46143</v>
      </c>
      <c r="B12" s="27">
        <v>100000</v>
      </c>
      <c r="C12" s="32">
        <f t="shared" si="0"/>
        <v>4000</v>
      </c>
      <c r="D12" s="27"/>
      <c r="E12" s="32">
        <f t="shared" si="1"/>
        <v>8000</v>
      </c>
      <c r="F12" s="24"/>
      <c r="G12" s="24"/>
    </row>
    <row r="13" spans="1:7" ht="19.5" customHeight="1" x14ac:dyDescent="0.55000000000000004">
      <c r="A13" s="39">
        <v>46174</v>
      </c>
      <c r="B13" s="27">
        <v>100000</v>
      </c>
      <c r="C13" s="32">
        <f t="shared" si="0"/>
        <v>4000</v>
      </c>
      <c r="D13" s="27"/>
      <c r="E13" s="32">
        <f t="shared" si="1"/>
        <v>12000</v>
      </c>
      <c r="F13" s="24"/>
      <c r="G13" s="24"/>
    </row>
    <row r="14" spans="1:7" ht="19.5" customHeight="1" x14ac:dyDescent="0.55000000000000004">
      <c r="A14" s="39">
        <v>46204</v>
      </c>
      <c r="B14" s="27">
        <v>100000</v>
      </c>
      <c r="C14" s="32">
        <f t="shared" si="0"/>
        <v>4000</v>
      </c>
      <c r="D14" s="27">
        <v>12000</v>
      </c>
      <c r="E14" s="32">
        <f t="shared" si="1"/>
        <v>4000</v>
      </c>
      <c r="F14" s="24" t="s">
        <v>391</v>
      </c>
      <c r="G14" s="24" t="s">
        <v>392</v>
      </c>
    </row>
    <row r="15" spans="1:7" ht="19.5" customHeight="1" x14ac:dyDescent="0.55000000000000004">
      <c r="A15" s="39">
        <v>46235</v>
      </c>
      <c r="B15" s="27">
        <v>100000</v>
      </c>
      <c r="C15" s="32">
        <f t="shared" si="0"/>
        <v>4000</v>
      </c>
      <c r="D15" s="27"/>
      <c r="E15" s="32">
        <f t="shared" si="1"/>
        <v>8000</v>
      </c>
      <c r="F15" s="24"/>
      <c r="G15" s="24"/>
    </row>
    <row r="16" spans="1:7" ht="19.5" customHeight="1" x14ac:dyDescent="0.55000000000000004">
      <c r="A16" s="39">
        <v>46266</v>
      </c>
      <c r="B16" s="27">
        <v>100000</v>
      </c>
      <c r="C16" s="32">
        <f t="shared" si="0"/>
        <v>4000</v>
      </c>
      <c r="D16" s="27"/>
      <c r="E16" s="32">
        <f t="shared" si="1"/>
        <v>12000</v>
      </c>
      <c r="F16" s="24"/>
      <c r="G16" s="24"/>
    </row>
    <row r="17" spans="1:7" ht="19.5" customHeight="1" x14ac:dyDescent="0.55000000000000004">
      <c r="A17" s="39">
        <v>46296</v>
      </c>
      <c r="B17" s="27">
        <v>100000</v>
      </c>
      <c r="C17" s="32">
        <f t="shared" si="0"/>
        <v>4000</v>
      </c>
      <c r="D17" s="27"/>
      <c r="E17" s="32">
        <f t="shared" si="1"/>
        <v>16000</v>
      </c>
      <c r="F17" s="24"/>
      <c r="G17" s="24"/>
    </row>
    <row r="18" spans="1:7" ht="19.5" customHeight="1" x14ac:dyDescent="0.55000000000000004">
      <c r="A18" s="40"/>
      <c r="B18" s="36"/>
      <c r="C18" s="32" t="str">
        <f t="shared" si="0"/>
        <v/>
      </c>
      <c r="D18" s="36"/>
      <c r="E18" s="32" t="str">
        <f t="shared" si="1"/>
        <v/>
      </c>
      <c r="F18" s="15"/>
      <c r="G18" s="15"/>
    </row>
    <row r="19" spans="1:7" ht="19.5" customHeight="1" x14ac:dyDescent="0.55000000000000004">
      <c r="A19" s="40"/>
      <c r="B19" s="36"/>
      <c r="C19" s="32" t="str">
        <f t="shared" si="0"/>
        <v/>
      </c>
      <c r="D19" s="36"/>
      <c r="E19" s="32" t="str">
        <f t="shared" si="1"/>
        <v/>
      </c>
      <c r="F19" s="15"/>
      <c r="G19" s="15"/>
    </row>
    <row r="20" spans="1:7" ht="18" customHeight="1" x14ac:dyDescent="0.55000000000000004">
      <c r="A20" s="13" t="s">
        <v>393</v>
      </c>
      <c r="B20" s="33">
        <f>SUM(B8:B19)</f>
        <v>1000000</v>
      </c>
      <c r="C20" s="33">
        <f>SUM(C8:C19)</f>
        <v>40000</v>
      </c>
      <c r="D20" s="33">
        <f>SUM(D8:D19)</f>
        <v>24000</v>
      </c>
      <c r="E20" s="33">
        <f>C20-D20</f>
        <v>16000</v>
      </c>
      <c r="F20" s="51"/>
      <c r="G20" s="51"/>
    </row>
    <row r="22" spans="1:7" ht="18" customHeight="1" x14ac:dyDescent="0.55000000000000004">
      <c r="A22" s="9" t="s">
        <v>139</v>
      </c>
      <c r="B22" s="9"/>
      <c r="C22" s="9"/>
      <c r="D22" s="9"/>
      <c r="E22" s="9"/>
      <c r="F22" s="9"/>
      <c r="G22" s="9"/>
    </row>
    <row r="23" spans="1:7" ht="30.75" customHeight="1" x14ac:dyDescent="0.55000000000000004">
      <c r="A23" s="7" t="s">
        <v>394</v>
      </c>
      <c r="B23" s="7"/>
      <c r="C23" s="7"/>
      <c r="D23" s="7"/>
      <c r="E23" s="7"/>
      <c r="F23" s="7"/>
      <c r="G23" s="7"/>
    </row>
    <row r="24" spans="1:7" ht="30.75" customHeight="1" x14ac:dyDescent="0.55000000000000004">
      <c r="A24" s="7" t="s">
        <v>395</v>
      </c>
      <c r="B24" s="7"/>
      <c r="C24" s="7"/>
      <c r="D24" s="7"/>
      <c r="E24" s="7"/>
      <c r="F24" s="7"/>
      <c r="G24" s="7"/>
    </row>
  </sheetData>
  <mergeCells count="11">
    <mergeCell ref="F20:G20"/>
    <mergeCell ref="A22:G22"/>
    <mergeCell ref="A23:G23"/>
    <mergeCell ref="A24:G24"/>
    <mergeCell ref="A1:B3"/>
    <mergeCell ref="C1:G1"/>
    <mergeCell ref="C2:G2"/>
    <mergeCell ref="C3:G3"/>
    <mergeCell ref="A5:B5"/>
    <mergeCell ref="D5:E5"/>
    <mergeCell ref="F5:G5"/>
  </mergeCells>
  <pageMargins left="0.5" right="0.5" top="1" bottom="1" header="0.511811023622047" footer="0.5"/>
  <pageSetup paperSize="9" fitToHeight="0" orientation="landscape" horizontalDpi="300" verticalDpi="300"/>
  <headerFooter>
    <oddFooter>&amp;LPP-10 | Crest Point Consulting Group&amp;CPage &amp;P of &amp;N&amp;RStrictly Confidential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F3864"/>
    <pageSetUpPr fitToPage="1"/>
  </sheetPr>
  <dimension ref="A1:F27"/>
  <sheetViews>
    <sheetView showGridLines="0" zoomScaleNormal="100" workbookViewId="0">
      <selection sqref="A1:B3"/>
    </sheetView>
  </sheetViews>
  <sheetFormatPr defaultColWidth="8.68359375" defaultRowHeight="14.4" x14ac:dyDescent="0.55000000000000004"/>
  <cols>
    <col min="1" max="1" width="7" customWidth="1"/>
    <col min="2" max="2" width="16" customWidth="1"/>
    <col min="3" max="3" width="32" customWidth="1"/>
    <col min="4" max="4" width="36" customWidth="1"/>
    <col min="5" max="6" width="17" customWidth="1"/>
  </cols>
  <sheetData>
    <row r="1" spans="1:6" ht="43.5" customHeight="1" x14ac:dyDescent="0.55000000000000004">
      <c r="A1" s="6" t="s">
        <v>94</v>
      </c>
      <c r="B1" s="6"/>
      <c r="C1" s="5" t="s">
        <v>0</v>
      </c>
      <c r="D1" s="5"/>
      <c r="E1" s="5"/>
      <c r="F1" s="5"/>
    </row>
    <row r="2" spans="1:6" ht="21.75" customHeight="1" x14ac:dyDescent="0.55000000000000004">
      <c r="A2" s="6"/>
      <c r="B2" s="6"/>
      <c r="C2" s="4" t="s">
        <v>396</v>
      </c>
      <c r="D2" s="4"/>
      <c r="E2" s="4"/>
      <c r="F2" s="4"/>
    </row>
    <row r="3" spans="1:6" ht="21.75" customHeight="1" x14ac:dyDescent="0.55000000000000004">
      <c r="A3" s="6"/>
      <c r="B3" s="6"/>
      <c r="C3" s="3" t="s">
        <v>397</v>
      </c>
      <c r="D3" s="3"/>
      <c r="E3" s="3"/>
      <c r="F3" s="3"/>
    </row>
    <row r="5" spans="1:6" ht="18" customHeight="1" x14ac:dyDescent="0.55000000000000004">
      <c r="A5" s="2" t="s">
        <v>398</v>
      </c>
      <c r="B5" s="2"/>
      <c r="C5" s="2"/>
      <c r="D5" s="2"/>
      <c r="E5" s="2"/>
      <c r="F5" s="2"/>
    </row>
    <row r="6" spans="1:6" ht="19.5" customHeight="1" x14ac:dyDescent="0.55000000000000004">
      <c r="A6" s="9" t="s">
        <v>399</v>
      </c>
      <c r="B6" s="9"/>
      <c r="C6" s="23" t="s">
        <v>400</v>
      </c>
      <c r="D6" s="13" t="s">
        <v>183</v>
      </c>
      <c r="E6" s="1" t="s">
        <v>184</v>
      </c>
      <c r="F6" s="1"/>
    </row>
    <row r="7" spans="1:6" ht="30.75" customHeight="1" x14ac:dyDescent="0.55000000000000004">
      <c r="A7" s="9" t="s">
        <v>100</v>
      </c>
      <c r="B7" s="9"/>
      <c r="C7" s="24" t="s">
        <v>186</v>
      </c>
      <c r="D7" s="13" t="s">
        <v>200</v>
      </c>
      <c r="E7" s="1" t="s">
        <v>401</v>
      </c>
      <c r="F7" s="1"/>
    </row>
    <row r="8" spans="1:6" ht="30.75" customHeight="1" x14ac:dyDescent="0.55000000000000004">
      <c r="A8" s="9" t="s">
        <v>402</v>
      </c>
      <c r="B8" s="9"/>
      <c r="C8" s="26">
        <v>46305</v>
      </c>
      <c r="D8" s="13" t="s">
        <v>403</v>
      </c>
      <c r="E8" s="1" t="s">
        <v>404</v>
      </c>
      <c r="F8" s="1"/>
    </row>
    <row r="9" spans="1:6" ht="30.75" customHeight="1" x14ac:dyDescent="0.55000000000000004">
      <c r="A9" s="9" t="s">
        <v>405</v>
      </c>
      <c r="B9" s="9"/>
      <c r="C9" s="24" t="s">
        <v>406</v>
      </c>
      <c r="D9" s="13" t="s">
        <v>127</v>
      </c>
      <c r="E9" s="1" t="s">
        <v>128</v>
      </c>
      <c r="F9" s="1"/>
    </row>
    <row r="11" spans="1:6" ht="18" customHeight="1" x14ac:dyDescent="0.55000000000000004">
      <c r="A11" s="2" t="s">
        <v>407</v>
      </c>
      <c r="B11" s="2"/>
      <c r="C11" s="2"/>
      <c r="D11" s="2"/>
      <c r="E11" s="2"/>
      <c r="F11" s="2"/>
    </row>
    <row r="12" spans="1:6" ht="19.5" customHeight="1" x14ac:dyDescent="0.55000000000000004">
      <c r="A12" s="9" t="s">
        <v>408</v>
      </c>
      <c r="B12" s="9"/>
      <c r="C12" s="27">
        <v>1500000</v>
      </c>
      <c r="D12" s="13" t="s">
        <v>409</v>
      </c>
      <c r="E12" s="49">
        <v>1200000</v>
      </c>
      <c r="F12" s="49"/>
    </row>
    <row r="13" spans="1:6" ht="19.5" customHeight="1" x14ac:dyDescent="0.55000000000000004">
      <c r="A13" s="9" t="s">
        <v>410</v>
      </c>
      <c r="B13" s="9"/>
      <c r="C13" s="32">
        <f>C12-E12</f>
        <v>300000</v>
      </c>
      <c r="D13" s="13" t="s">
        <v>411</v>
      </c>
      <c r="E13" s="53">
        <v>0</v>
      </c>
      <c r="F13" s="53"/>
    </row>
    <row r="14" spans="1:6" ht="19.5" customHeight="1" x14ac:dyDescent="0.55000000000000004">
      <c r="A14" s="9" t="s">
        <v>412</v>
      </c>
      <c r="B14" s="9"/>
      <c r="C14" s="32">
        <f>C13-E13</f>
        <v>300000</v>
      </c>
      <c r="D14" s="13" t="s">
        <v>413</v>
      </c>
      <c r="E14" s="44" t="str">
        <f>IF(ROUND(E12+C14-C12,2)=0,"BALANCED","CHECK")</f>
        <v>BALANCED</v>
      </c>
      <c r="F14" s="44"/>
    </row>
    <row r="15" spans="1:6" ht="27.75" customHeight="1" x14ac:dyDescent="0.55000000000000004">
      <c r="A15" s="9" t="s">
        <v>414</v>
      </c>
      <c r="B15" s="9"/>
      <c r="C15" s="44" t="s">
        <v>415</v>
      </c>
      <c r="D15" s="44"/>
      <c r="E15" s="44"/>
      <c r="F15" s="44"/>
    </row>
    <row r="17" spans="1:6" ht="30.75" customHeight="1" x14ac:dyDescent="0.55000000000000004">
      <c r="A17" s="45" t="s">
        <v>133</v>
      </c>
      <c r="B17" s="45"/>
      <c r="C17" s="45"/>
      <c r="D17" s="45" t="s">
        <v>134</v>
      </c>
      <c r="E17" s="45"/>
      <c r="F17" s="45"/>
    </row>
    <row r="18" spans="1:6" ht="19.5" customHeight="1" x14ac:dyDescent="0.55000000000000004">
      <c r="A18" s="8" t="s">
        <v>135</v>
      </c>
      <c r="B18" s="8"/>
      <c r="C18" s="8"/>
      <c r="D18" s="8" t="s">
        <v>135</v>
      </c>
      <c r="E18" s="8"/>
      <c r="F18" s="8"/>
    </row>
    <row r="19" spans="1:6" ht="19.5" customHeight="1" x14ac:dyDescent="0.55000000000000004">
      <c r="A19" s="8" t="s">
        <v>136</v>
      </c>
      <c r="B19" s="8"/>
      <c r="C19" s="8"/>
      <c r="D19" s="8" t="s">
        <v>136</v>
      </c>
      <c r="E19" s="8"/>
      <c r="F19" s="8"/>
    </row>
    <row r="20" spans="1:6" ht="43.5" customHeight="1" x14ac:dyDescent="0.55000000000000004">
      <c r="A20" s="46" t="s">
        <v>137</v>
      </c>
      <c r="B20" s="46"/>
      <c r="C20" s="46"/>
      <c r="D20" s="46" t="s">
        <v>137</v>
      </c>
      <c r="E20" s="46"/>
      <c r="F20" s="46"/>
    </row>
    <row r="21" spans="1:6" ht="19.5" customHeight="1" x14ac:dyDescent="0.55000000000000004">
      <c r="A21" s="8" t="s">
        <v>138</v>
      </c>
      <c r="B21" s="8"/>
      <c r="C21" s="8"/>
      <c r="D21" s="8" t="s">
        <v>138</v>
      </c>
      <c r="E21" s="8"/>
      <c r="F21" s="8"/>
    </row>
    <row r="23" spans="1:6" ht="18" customHeight="1" x14ac:dyDescent="0.55000000000000004">
      <c r="A23" s="9" t="s">
        <v>139</v>
      </c>
      <c r="B23" s="9"/>
      <c r="C23" s="9"/>
      <c r="D23" s="9"/>
      <c r="E23" s="9"/>
      <c r="F23" s="9"/>
    </row>
    <row r="24" spans="1:6" ht="33.75" customHeight="1" x14ac:dyDescent="0.55000000000000004">
      <c r="A24" s="7" t="s">
        <v>416</v>
      </c>
      <c r="B24" s="7"/>
      <c r="C24" s="7"/>
      <c r="D24" s="7"/>
      <c r="E24" s="7"/>
      <c r="F24" s="7"/>
    </row>
    <row r="25" spans="1:6" ht="33.75" customHeight="1" x14ac:dyDescent="0.55000000000000004">
      <c r="A25" s="7" t="s">
        <v>417</v>
      </c>
      <c r="B25" s="7"/>
      <c r="C25" s="7"/>
      <c r="D25" s="7"/>
      <c r="E25" s="7"/>
      <c r="F25" s="7"/>
    </row>
    <row r="26" spans="1:6" ht="33.75" customHeight="1" x14ac:dyDescent="0.55000000000000004">
      <c r="A26" s="7" t="s">
        <v>418</v>
      </c>
      <c r="B26" s="7"/>
      <c r="C26" s="7"/>
      <c r="D26" s="7"/>
      <c r="E26" s="7"/>
      <c r="F26" s="7"/>
    </row>
    <row r="27" spans="1:6" ht="43.5" customHeight="1" x14ac:dyDescent="0.55000000000000004">
      <c r="A27" s="7" t="s">
        <v>179</v>
      </c>
      <c r="B27" s="7"/>
      <c r="C27" s="7"/>
      <c r="D27" s="7"/>
      <c r="E27" s="7"/>
      <c r="F27" s="7"/>
    </row>
  </sheetData>
  <mergeCells count="37">
    <mergeCell ref="A24:F24"/>
    <mergeCell ref="A25:F25"/>
    <mergeCell ref="A26:F26"/>
    <mergeCell ref="A27:F27"/>
    <mergeCell ref="A20:C20"/>
    <mergeCell ref="D20:F20"/>
    <mergeCell ref="A21:C21"/>
    <mergeCell ref="D21:F21"/>
    <mergeCell ref="A23:F23"/>
    <mergeCell ref="A17:C17"/>
    <mergeCell ref="D17:F17"/>
    <mergeCell ref="A18:C18"/>
    <mergeCell ref="D18:F18"/>
    <mergeCell ref="A19:C19"/>
    <mergeCell ref="D19:F19"/>
    <mergeCell ref="A13:B13"/>
    <mergeCell ref="E13:F13"/>
    <mergeCell ref="A14:B14"/>
    <mergeCell ref="E14:F14"/>
    <mergeCell ref="A15:B15"/>
    <mergeCell ref="C15:F15"/>
    <mergeCell ref="A9:B9"/>
    <mergeCell ref="E9:F9"/>
    <mergeCell ref="A11:F11"/>
    <mergeCell ref="A12:B12"/>
    <mergeCell ref="E12:F12"/>
    <mergeCell ref="A6:B6"/>
    <mergeCell ref="E6:F6"/>
    <mergeCell ref="A7:B7"/>
    <mergeCell ref="E7:F7"/>
    <mergeCell ref="A8:B8"/>
    <mergeCell ref="E8:F8"/>
    <mergeCell ref="A1:B3"/>
    <mergeCell ref="C1:F1"/>
    <mergeCell ref="C2:F2"/>
    <mergeCell ref="C3:F3"/>
    <mergeCell ref="A5:F5"/>
  </mergeCells>
  <dataValidations count="2">
    <dataValidation type="list" allowBlank="1" sqref="C7" xr:uid="{00000000-0002-0000-0B00-000000000000}">
      <formula1>"Land - In Use,Land - Rental,Building - In Use,Building - Rental"</formula1>
      <formula2>0</formula2>
    </dataValidation>
    <dataValidation type="list" allowBlank="1" sqref="E9" xr:uid="{00000000-0002-0000-0B00-000001000000}">
      <formula1>"Approved,Rejected"</formula1>
      <formula2>0</formula2>
    </dataValidation>
  </dataValidations>
  <pageMargins left="0.5" right="0.5" top="1" bottom="1" header="0.511811023622047" footer="0.5"/>
  <pageSetup paperSize="9" fitToHeight="0" orientation="portrait" horizontalDpi="300" verticalDpi="300"/>
  <headerFooter>
    <oddFooter>&amp;LPP-11 | Crest Point Consulting Group&amp;CPage &amp;P of &amp;N&amp;RStrictly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F3864"/>
    <pageSetUpPr fitToPage="1"/>
  </sheetPr>
  <dimension ref="A1:F25"/>
  <sheetViews>
    <sheetView showGridLines="0" zoomScaleNormal="100" workbookViewId="0">
      <selection sqref="A1:B3"/>
    </sheetView>
  </sheetViews>
  <sheetFormatPr defaultColWidth="8.68359375" defaultRowHeight="14.4" x14ac:dyDescent="0.55000000000000004"/>
  <cols>
    <col min="1" max="1" width="7" customWidth="1"/>
    <col min="2" max="2" width="16" customWidth="1"/>
    <col min="3" max="3" width="32" customWidth="1"/>
    <col min="4" max="4" width="36" customWidth="1"/>
    <col min="5" max="6" width="17" customWidth="1"/>
  </cols>
  <sheetData>
    <row r="1" spans="1:6" ht="43.5" customHeight="1" x14ac:dyDescent="0.55000000000000004">
      <c r="A1" s="6" t="s">
        <v>94</v>
      </c>
      <c r="B1" s="6"/>
      <c r="C1" s="5" t="s">
        <v>0</v>
      </c>
      <c r="D1" s="5"/>
      <c r="E1" s="5"/>
      <c r="F1" s="5"/>
    </row>
    <row r="2" spans="1:6" ht="21.75" customHeight="1" x14ac:dyDescent="0.55000000000000004">
      <c r="A2" s="6"/>
      <c r="B2" s="6"/>
      <c r="C2" s="4" t="s">
        <v>419</v>
      </c>
      <c r="D2" s="4"/>
      <c r="E2" s="4"/>
      <c r="F2" s="4"/>
    </row>
    <row r="3" spans="1:6" ht="21.75" customHeight="1" x14ac:dyDescent="0.55000000000000004">
      <c r="A3" s="6"/>
      <c r="B3" s="6"/>
      <c r="C3" s="3" t="s">
        <v>420</v>
      </c>
      <c r="D3" s="3"/>
      <c r="E3" s="3"/>
      <c r="F3" s="3"/>
    </row>
    <row r="5" spans="1:6" ht="18" customHeight="1" x14ac:dyDescent="0.55000000000000004">
      <c r="A5" s="2" t="s">
        <v>421</v>
      </c>
      <c r="B5" s="2"/>
      <c r="C5" s="2"/>
      <c r="D5" s="2"/>
      <c r="E5" s="2"/>
      <c r="F5" s="2"/>
    </row>
    <row r="6" spans="1:6" ht="19.5" customHeight="1" x14ac:dyDescent="0.55000000000000004">
      <c r="A6" s="9" t="s">
        <v>422</v>
      </c>
      <c r="B6" s="9"/>
      <c r="C6" s="23" t="s">
        <v>423</v>
      </c>
      <c r="D6" s="13" t="s">
        <v>183</v>
      </c>
      <c r="E6" s="1" t="s">
        <v>147</v>
      </c>
      <c r="F6" s="1"/>
    </row>
    <row r="7" spans="1:6" ht="19.5" customHeight="1" x14ac:dyDescent="0.55000000000000004">
      <c r="A7" s="9" t="s">
        <v>199</v>
      </c>
      <c r="B7" s="9"/>
      <c r="C7" s="24" t="s">
        <v>424</v>
      </c>
      <c r="D7" s="13" t="s">
        <v>425</v>
      </c>
      <c r="E7" s="1" t="s">
        <v>426</v>
      </c>
      <c r="F7" s="1"/>
    </row>
    <row r="8" spans="1:6" ht="19.5" customHeight="1" x14ac:dyDescent="0.55000000000000004">
      <c r="A8" s="9" t="s">
        <v>427</v>
      </c>
      <c r="B8" s="9"/>
      <c r="C8" s="27">
        <v>21600000</v>
      </c>
      <c r="D8" s="13" t="s">
        <v>428</v>
      </c>
      <c r="E8" s="53">
        <v>19800000</v>
      </c>
      <c r="F8" s="53"/>
    </row>
    <row r="9" spans="1:6" ht="19.5" customHeight="1" x14ac:dyDescent="0.55000000000000004">
      <c r="A9" s="9" t="s">
        <v>429</v>
      </c>
      <c r="B9" s="9"/>
      <c r="C9" s="32">
        <f>E8-C8</f>
        <v>-1800000</v>
      </c>
      <c r="D9" s="13" t="s">
        <v>430</v>
      </c>
      <c r="E9" s="44" t="str">
        <f>IF(C9&lt;0,"Decrease (impairment loss)",IF(C9&gt;0,"Increase (revaluation gain)","No change"))</f>
        <v>Decrease (impairment loss)</v>
      </c>
      <c r="F9" s="44"/>
    </row>
    <row r="10" spans="1:6" ht="30.75" customHeight="1" x14ac:dyDescent="0.55000000000000004">
      <c r="A10" s="9" t="s">
        <v>431</v>
      </c>
      <c r="B10" s="9"/>
      <c r="C10" s="1" t="s">
        <v>432</v>
      </c>
      <c r="D10" s="1"/>
      <c r="E10" s="1"/>
      <c r="F10" s="1"/>
    </row>
    <row r="12" spans="1:6" ht="18" customHeight="1" x14ac:dyDescent="0.55000000000000004">
      <c r="A12" s="2" t="s">
        <v>433</v>
      </c>
      <c r="B12" s="2"/>
      <c r="C12" s="2"/>
      <c r="D12" s="2"/>
      <c r="E12" s="2"/>
      <c r="F12" s="2"/>
    </row>
    <row r="13" spans="1:6" ht="30.75" customHeight="1" x14ac:dyDescent="0.55000000000000004">
      <c r="A13" s="9" t="s">
        <v>434</v>
      </c>
      <c r="B13" s="9"/>
      <c r="C13" s="24" t="s">
        <v>128</v>
      </c>
      <c r="D13" s="13" t="s">
        <v>435</v>
      </c>
      <c r="E13" s="1" t="s">
        <v>308</v>
      </c>
      <c r="F13" s="1"/>
    </row>
    <row r="14" spans="1:6" ht="30" customHeight="1" x14ac:dyDescent="0.55000000000000004">
      <c r="A14" s="9" t="s">
        <v>436</v>
      </c>
      <c r="B14" s="9"/>
      <c r="C14" s="44" t="str">
        <f>IF(AND(C13="Approved",E13="Verified"),"MAY BE POSTED - both approvals recorded","BLOCKED - Finance Department Head and Internal Control approval are required before posting")</f>
        <v>MAY BE POSTED - both approvals recorded</v>
      </c>
      <c r="D14" s="44"/>
      <c r="E14" s="44"/>
      <c r="F14" s="44"/>
    </row>
    <row r="16" spans="1:6" ht="30.75" customHeight="1" x14ac:dyDescent="0.55000000000000004">
      <c r="A16" s="45" t="s">
        <v>133</v>
      </c>
      <c r="B16" s="45"/>
      <c r="C16" s="28" t="s">
        <v>437</v>
      </c>
      <c r="D16" s="28" t="s">
        <v>438</v>
      </c>
      <c r="E16" s="45" t="s">
        <v>286</v>
      </c>
      <c r="F16" s="45"/>
    </row>
    <row r="17" spans="1:6" ht="19.5" customHeight="1" x14ac:dyDescent="0.55000000000000004">
      <c r="A17" s="8" t="s">
        <v>135</v>
      </c>
      <c r="B17" s="8"/>
      <c r="C17" s="15" t="s">
        <v>135</v>
      </c>
      <c r="D17" s="15" t="s">
        <v>135</v>
      </c>
      <c r="E17" s="8" t="s">
        <v>135</v>
      </c>
      <c r="F17" s="8"/>
    </row>
    <row r="18" spans="1:6" ht="19.5" customHeight="1" x14ac:dyDescent="0.55000000000000004">
      <c r="A18" s="8" t="s">
        <v>136</v>
      </c>
      <c r="B18" s="8"/>
      <c r="C18" s="15" t="s">
        <v>136</v>
      </c>
      <c r="D18" s="15" t="s">
        <v>136</v>
      </c>
      <c r="E18" s="8" t="s">
        <v>136</v>
      </c>
      <c r="F18" s="8"/>
    </row>
    <row r="19" spans="1:6" ht="43.5" customHeight="1" x14ac:dyDescent="0.55000000000000004">
      <c r="A19" s="46" t="s">
        <v>137</v>
      </c>
      <c r="B19" s="46"/>
      <c r="C19" s="29" t="s">
        <v>137</v>
      </c>
      <c r="D19" s="29" t="s">
        <v>137</v>
      </c>
      <c r="E19" s="46" t="s">
        <v>137</v>
      </c>
      <c r="F19" s="46"/>
    </row>
    <row r="20" spans="1:6" ht="19.5" customHeight="1" x14ac:dyDescent="0.55000000000000004">
      <c r="A20" s="8" t="s">
        <v>138</v>
      </c>
      <c r="B20" s="8"/>
      <c r="C20" s="15" t="s">
        <v>138</v>
      </c>
      <c r="D20" s="15" t="s">
        <v>138</v>
      </c>
      <c r="E20" s="8" t="s">
        <v>138</v>
      </c>
      <c r="F20" s="8"/>
    </row>
    <row r="22" spans="1:6" ht="18" customHeight="1" x14ac:dyDescent="0.55000000000000004">
      <c r="A22" s="9" t="s">
        <v>139</v>
      </c>
      <c r="B22" s="9"/>
      <c r="C22" s="9"/>
      <c r="D22" s="9"/>
      <c r="E22" s="9"/>
      <c r="F22" s="9"/>
    </row>
    <row r="23" spans="1:6" ht="33.75" customHeight="1" x14ac:dyDescent="0.55000000000000004">
      <c r="A23" s="7" t="s">
        <v>439</v>
      </c>
      <c r="B23" s="7"/>
      <c r="C23" s="7"/>
      <c r="D23" s="7"/>
      <c r="E23" s="7"/>
      <c r="F23" s="7"/>
    </row>
    <row r="24" spans="1:6" ht="33.75" customHeight="1" x14ac:dyDescent="0.55000000000000004">
      <c r="A24" s="7" t="s">
        <v>440</v>
      </c>
      <c r="B24" s="7"/>
      <c r="C24" s="7"/>
      <c r="D24" s="7"/>
      <c r="E24" s="7"/>
      <c r="F24" s="7"/>
    </row>
    <row r="25" spans="1:6" ht="33.75" customHeight="1" x14ac:dyDescent="0.55000000000000004">
      <c r="A25" s="7" t="s">
        <v>289</v>
      </c>
      <c r="B25" s="7"/>
      <c r="C25" s="7"/>
      <c r="D25" s="7"/>
      <c r="E25" s="7"/>
      <c r="F25" s="7"/>
    </row>
  </sheetData>
  <mergeCells count="34">
    <mergeCell ref="A25:F25"/>
    <mergeCell ref="A20:B20"/>
    <mergeCell ref="E20:F20"/>
    <mergeCell ref="A22:F22"/>
    <mergeCell ref="A23:F23"/>
    <mergeCell ref="A24:F24"/>
    <mergeCell ref="A17:B17"/>
    <mergeCell ref="E17:F17"/>
    <mergeCell ref="A18:B18"/>
    <mergeCell ref="E18:F18"/>
    <mergeCell ref="A19:B19"/>
    <mergeCell ref="E19:F19"/>
    <mergeCell ref="A13:B13"/>
    <mergeCell ref="E13:F13"/>
    <mergeCell ref="A14:B14"/>
    <mergeCell ref="C14:F14"/>
    <mergeCell ref="A16:B16"/>
    <mergeCell ref="E16:F16"/>
    <mergeCell ref="A9:B9"/>
    <mergeCell ref="E9:F9"/>
    <mergeCell ref="A10:B10"/>
    <mergeCell ref="C10:F10"/>
    <mergeCell ref="A12:F12"/>
    <mergeCell ref="A6:B6"/>
    <mergeCell ref="E6:F6"/>
    <mergeCell ref="A7:B7"/>
    <mergeCell ref="E7:F7"/>
    <mergeCell ref="A8:B8"/>
    <mergeCell ref="E8:F8"/>
    <mergeCell ref="A1:B3"/>
    <mergeCell ref="C1:F1"/>
    <mergeCell ref="C2:F2"/>
    <mergeCell ref="C3:F3"/>
    <mergeCell ref="A5:F5"/>
  </mergeCells>
  <dataValidations count="3">
    <dataValidation type="list" allowBlank="1" sqref="C7" xr:uid="{00000000-0002-0000-0C00-000000000000}">
      <formula1>"Revaluation,Impairment"</formula1>
      <formula2>0</formula2>
    </dataValidation>
    <dataValidation type="list" allowBlank="1" sqref="C13" xr:uid="{00000000-0002-0000-0C00-000001000000}">
      <formula1>"Approved,Rejected"</formula1>
      <formula2>0</formula2>
    </dataValidation>
    <dataValidation type="list" allowBlank="1" sqref="E13" xr:uid="{00000000-0002-0000-0C00-000002000000}">
      <formula1>"Verified,Rejected"</formula1>
      <formula2>0</formula2>
    </dataValidation>
  </dataValidations>
  <pageMargins left="0.5" right="0.5" top="1" bottom="1" header="0.511811023622047" footer="0.5"/>
  <pageSetup paperSize="9" fitToHeight="0" orientation="portrait" horizontalDpi="300" verticalDpi="300"/>
  <headerFooter>
    <oddFooter>&amp;LPP-12 | Crest Point Consulting Group&amp;CPage &amp;P of &amp;N&amp;RStrictly Confidential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1F3864"/>
    <pageSetUpPr fitToPage="1"/>
  </sheetPr>
  <dimension ref="A1:F20"/>
  <sheetViews>
    <sheetView showGridLines="0" zoomScaleNormal="100" workbookViewId="0">
      <selection sqref="A1:B3"/>
    </sheetView>
  </sheetViews>
  <sheetFormatPr defaultColWidth="8.68359375" defaultRowHeight="14.4" x14ac:dyDescent="0.55000000000000004"/>
  <cols>
    <col min="1" max="1" width="7" customWidth="1"/>
    <col min="2" max="2" width="16" customWidth="1"/>
    <col min="3" max="3" width="32" customWidth="1"/>
    <col min="4" max="4" width="36" customWidth="1"/>
    <col min="5" max="6" width="17" customWidth="1"/>
  </cols>
  <sheetData>
    <row r="1" spans="1:6" ht="43.5" customHeight="1" x14ac:dyDescent="0.55000000000000004">
      <c r="A1" s="6" t="s">
        <v>94</v>
      </c>
      <c r="B1" s="6"/>
      <c r="C1" s="5" t="s">
        <v>0</v>
      </c>
      <c r="D1" s="5"/>
      <c r="E1" s="5"/>
      <c r="F1" s="5"/>
    </row>
    <row r="2" spans="1:6" ht="21.75" customHeight="1" x14ac:dyDescent="0.55000000000000004">
      <c r="A2" s="6"/>
      <c r="B2" s="6"/>
      <c r="C2" s="4" t="s">
        <v>441</v>
      </c>
      <c r="D2" s="4"/>
      <c r="E2" s="4"/>
      <c r="F2" s="4"/>
    </row>
    <row r="3" spans="1:6" ht="21.75" customHeight="1" x14ac:dyDescent="0.55000000000000004">
      <c r="A3" s="6"/>
      <c r="B3" s="6"/>
      <c r="C3" s="3" t="s">
        <v>442</v>
      </c>
      <c r="D3" s="3"/>
      <c r="E3" s="3"/>
      <c r="F3" s="3"/>
    </row>
    <row r="5" spans="1:6" ht="19.5" customHeight="1" x14ac:dyDescent="0.55000000000000004">
      <c r="A5" s="9" t="s">
        <v>443</v>
      </c>
      <c r="B5" s="9"/>
      <c r="C5" s="23" t="s">
        <v>444</v>
      </c>
      <c r="D5" s="13" t="s">
        <v>445</v>
      </c>
      <c r="E5" s="43">
        <v>46304</v>
      </c>
      <c r="F5" s="43"/>
    </row>
    <row r="6" spans="1:6" ht="19.5" customHeight="1" x14ac:dyDescent="0.55000000000000004">
      <c r="A6" s="9" t="s">
        <v>446</v>
      </c>
      <c r="B6" s="9"/>
      <c r="C6" s="24" t="s">
        <v>447</v>
      </c>
      <c r="D6" s="13" t="s">
        <v>448</v>
      </c>
      <c r="E6" s="1" t="s">
        <v>449</v>
      </c>
      <c r="F6" s="1"/>
    </row>
    <row r="7" spans="1:6" ht="30" customHeight="1" x14ac:dyDescent="0.55000000000000004">
      <c r="A7" s="9" t="s">
        <v>450</v>
      </c>
      <c r="B7" s="9"/>
      <c r="C7" s="1" t="s">
        <v>451</v>
      </c>
      <c r="D7" s="1"/>
      <c r="E7" s="1"/>
      <c r="F7" s="1"/>
    </row>
    <row r="8" spans="1:6" ht="30.75" customHeight="1" x14ac:dyDescent="0.55000000000000004">
      <c r="A8" s="9" t="s">
        <v>452</v>
      </c>
      <c r="B8" s="9"/>
      <c r="C8" s="24" t="s">
        <v>453</v>
      </c>
      <c r="D8" s="13" t="s">
        <v>454</v>
      </c>
      <c r="E8" s="1" t="s">
        <v>455</v>
      </c>
      <c r="F8" s="1"/>
    </row>
    <row r="9" spans="1:6" ht="30.75" customHeight="1" x14ac:dyDescent="0.55000000000000004">
      <c r="A9" s="9" t="s">
        <v>434</v>
      </c>
      <c r="B9" s="9"/>
      <c r="C9" s="24" t="s">
        <v>128</v>
      </c>
      <c r="D9" s="13" t="s">
        <v>240</v>
      </c>
      <c r="E9" s="48">
        <v>46305</v>
      </c>
      <c r="F9" s="48"/>
    </row>
    <row r="10" spans="1:6" ht="30.75" customHeight="1" x14ac:dyDescent="0.55000000000000004">
      <c r="A10" s="9" t="s">
        <v>456</v>
      </c>
      <c r="B10" s="9"/>
      <c r="C10" s="1"/>
      <c r="D10" s="1"/>
      <c r="E10" s="1"/>
      <c r="F10" s="1"/>
    </row>
    <row r="11" spans="1:6" ht="30" customHeight="1" x14ac:dyDescent="0.55000000000000004">
      <c r="A11" s="9" t="s">
        <v>302</v>
      </c>
      <c r="B11" s="9"/>
      <c r="C11" s="44" t="str">
        <f>IF(C9="Approved","Class added to the property classification list; matching accounts created in the chart of accounts (FA-14)","Class not added")</f>
        <v>Class added to the property classification list; matching accounts created in the chart of accounts (FA-14)</v>
      </c>
      <c r="D11" s="44"/>
      <c r="E11" s="44"/>
      <c r="F11" s="44"/>
    </row>
    <row r="13" spans="1:6" ht="30.75" customHeight="1" x14ac:dyDescent="0.55000000000000004">
      <c r="A13" s="45" t="s">
        <v>457</v>
      </c>
      <c r="B13" s="45"/>
      <c r="C13" s="45"/>
      <c r="D13" s="45" t="s">
        <v>458</v>
      </c>
      <c r="E13" s="45"/>
      <c r="F13" s="45"/>
    </row>
    <row r="14" spans="1:6" ht="19.5" customHeight="1" x14ac:dyDescent="0.55000000000000004">
      <c r="A14" s="8" t="s">
        <v>135</v>
      </c>
      <c r="B14" s="8"/>
      <c r="C14" s="8"/>
      <c r="D14" s="8" t="s">
        <v>135</v>
      </c>
      <c r="E14" s="8"/>
      <c r="F14" s="8"/>
    </row>
    <row r="15" spans="1:6" ht="19.5" customHeight="1" x14ac:dyDescent="0.55000000000000004">
      <c r="A15" s="8" t="s">
        <v>136</v>
      </c>
      <c r="B15" s="8"/>
      <c r="C15" s="8"/>
      <c r="D15" s="8" t="s">
        <v>136</v>
      </c>
      <c r="E15" s="8"/>
      <c r="F15" s="8"/>
    </row>
    <row r="16" spans="1:6" ht="43.5" customHeight="1" x14ac:dyDescent="0.55000000000000004">
      <c r="A16" s="46" t="s">
        <v>137</v>
      </c>
      <c r="B16" s="46"/>
      <c r="C16" s="46"/>
      <c r="D16" s="46" t="s">
        <v>137</v>
      </c>
      <c r="E16" s="46"/>
      <c r="F16" s="46"/>
    </row>
    <row r="17" spans="1:6" ht="19.5" customHeight="1" x14ac:dyDescent="0.55000000000000004">
      <c r="A17" s="8" t="s">
        <v>138</v>
      </c>
      <c r="B17" s="8"/>
      <c r="C17" s="8"/>
      <c r="D17" s="8" t="s">
        <v>138</v>
      </c>
      <c r="E17" s="8"/>
      <c r="F17" s="8"/>
    </row>
    <row r="19" spans="1:6" ht="18" customHeight="1" x14ac:dyDescent="0.55000000000000004">
      <c r="A19" s="9" t="s">
        <v>139</v>
      </c>
      <c r="B19" s="9"/>
      <c r="C19" s="9"/>
      <c r="D19" s="9"/>
      <c r="E19" s="9"/>
      <c r="F19" s="9"/>
    </row>
    <row r="20" spans="1:6" ht="30.75" customHeight="1" x14ac:dyDescent="0.55000000000000004">
      <c r="A20" s="7" t="s">
        <v>459</v>
      </c>
      <c r="B20" s="7"/>
      <c r="C20" s="7"/>
      <c r="D20" s="7"/>
      <c r="E20" s="7"/>
      <c r="F20" s="7"/>
    </row>
  </sheetData>
  <mergeCells count="30">
    <mergeCell ref="A20:F20"/>
    <mergeCell ref="A16:C16"/>
    <mergeCell ref="D16:F16"/>
    <mergeCell ref="A17:C17"/>
    <mergeCell ref="D17:F17"/>
    <mergeCell ref="A19:F19"/>
    <mergeCell ref="A13:C13"/>
    <mergeCell ref="D13:F13"/>
    <mergeCell ref="A14:C14"/>
    <mergeCell ref="D14:F14"/>
    <mergeCell ref="A15:C15"/>
    <mergeCell ref="D15:F15"/>
    <mergeCell ref="A9:B9"/>
    <mergeCell ref="E9:F9"/>
    <mergeCell ref="A10:B10"/>
    <mergeCell ref="C10:F10"/>
    <mergeCell ref="A11:B11"/>
    <mergeCell ref="C11:F11"/>
    <mergeCell ref="A6:B6"/>
    <mergeCell ref="E6:F6"/>
    <mergeCell ref="A7:B7"/>
    <mergeCell ref="C7:F7"/>
    <mergeCell ref="A8:B8"/>
    <mergeCell ref="E8:F8"/>
    <mergeCell ref="A1:B3"/>
    <mergeCell ref="C1:F1"/>
    <mergeCell ref="C2:F2"/>
    <mergeCell ref="C3:F3"/>
    <mergeCell ref="A5:B5"/>
    <mergeCell ref="E5:F5"/>
  </mergeCells>
  <dataValidations count="2">
    <dataValidation type="list" allowBlank="1" sqref="E6" xr:uid="{00000000-0002-0000-0D00-000000000000}">
      <formula1>"Land,Building"</formula1>
      <formula2>0</formula2>
    </dataValidation>
    <dataValidation type="list" allowBlank="1" sqref="C9" xr:uid="{00000000-0002-0000-0D00-000001000000}">
      <formula1>"Approved,Rejected"</formula1>
      <formula2>0</formula2>
    </dataValidation>
  </dataValidations>
  <pageMargins left="0.5" right="0.5" top="1" bottom="1" header="0.511811023622047" footer="0.5"/>
  <pageSetup paperSize="9" fitToHeight="0" orientation="portrait" horizontalDpi="300" verticalDpi="300"/>
  <headerFooter>
    <oddFooter>&amp;LPP-13 | Crest Point Consulting Group&amp;CPage &amp;P of &amp;N&amp;RStrictly Confidential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F7F7F"/>
    <pageSetUpPr fitToPage="1"/>
  </sheetPr>
  <dimension ref="A1:J30"/>
  <sheetViews>
    <sheetView showGridLines="0" zoomScaleNormal="100" workbookViewId="0">
      <selection sqref="A1:B3"/>
    </sheetView>
  </sheetViews>
  <sheetFormatPr defaultColWidth="8.68359375" defaultRowHeight="14.4" x14ac:dyDescent="0.55000000000000004"/>
  <cols>
    <col min="1" max="1" width="12" customWidth="1"/>
    <col min="2" max="2" width="36" customWidth="1"/>
    <col min="3" max="3" width="18" customWidth="1"/>
    <col min="4" max="4" width="28" customWidth="1"/>
    <col min="5" max="5" width="16" customWidth="1"/>
    <col min="6" max="6" width="11" customWidth="1"/>
    <col min="7" max="7" width="14" customWidth="1"/>
    <col min="8" max="8" width="16" customWidth="1"/>
    <col min="9" max="9" width="14" customWidth="1"/>
    <col min="10" max="10" width="16" customWidth="1"/>
  </cols>
  <sheetData>
    <row r="1" spans="1:10" ht="30.75" customHeight="1" x14ac:dyDescent="0.55000000000000004">
      <c r="A1" s="6" t="s">
        <v>94</v>
      </c>
      <c r="B1" s="6"/>
      <c r="C1" s="5" t="s">
        <v>0</v>
      </c>
      <c r="D1" s="5"/>
      <c r="E1" s="5"/>
      <c r="F1" s="5"/>
      <c r="G1" s="5"/>
      <c r="H1" s="5"/>
      <c r="I1" s="5"/>
      <c r="J1" s="5"/>
    </row>
    <row r="2" spans="1:10" ht="21.75" customHeight="1" x14ac:dyDescent="0.55000000000000004">
      <c r="A2" s="6"/>
      <c r="B2" s="6"/>
      <c r="C2" s="4" t="s">
        <v>460</v>
      </c>
      <c r="D2" s="4"/>
      <c r="E2" s="4"/>
      <c r="F2" s="4"/>
      <c r="G2" s="4"/>
      <c r="H2" s="4"/>
      <c r="I2" s="4"/>
      <c r="J2" s="4"/>
    </row>
    <row r="3" spans="1:10" ht="21.75" customHeight="1" x14ac:dyDescent="0.55000000000000004">
      <c r="A3" s="6"/>
      <c r="B3" s="6"/>
      <c r="C3" s="3" t="s">
        <v>461</v>
      </c>
      <c r="D3" s="3"/>
      <c r="E3" s="3"/>
      <c r="F3" s="3"/>
      <c r="G3" s="3"/>
      <c r="H3" s="3"/>
      <c r="I3" s="3"/>
      <c r="J3" s="3"/>
    </row>
    <row r="5" spans="1:10" ht="18" customHeight="1" x14ac:dyDescent="0.55000000000000004">
      <c r="A5" s="9" t="s">
        <v>462</v>
      </c>
      <c r="B5" s="9"/>
      <c r="C5" s="1" t="s">
        <v>463</v>
      </c>
      <c r="D5" s="1"/>
      <c r="E5" s="1"/>
      <c r="F5" s="9" t="s">
        <v>464</v>
      </c>
      <c r="G5" s="9"/>
      <c r="H5" s="44" t="s">
        <v>465</v>
      </c>
      <c r="I5" s="44"/>
      <c r="J5" s="44"/>
    </row>
    <row r="7" spans="1:10" ht="33.75" customHeight="1" x14ac:dyDescent="0.55000000000000004">
      <c r="A7" s="19" t="s">
        <v>466</v>
      </c>
      <c r="B7" s="19" t="s">
        <v>467</v>
      </c>
      <c r="C7" s="19" t="s">
        <v>100</v>
      </c>
      <c r="D7" s="19" t="s">
        <v>468</v>
      </c>
      <c r="E7" s="19" t="s">
        <v>469</v>
      </c>
      <c r="F7" s="19" t="s">
        <v>470</v>
      </c>
      <c r="G7" s="19" t="s">
        <v>471</v>
      </c>
      <c r="H7" s="19" t="s">
        <v>112</v>
      </c>
      <c r="I7" s="19" t="s">
        <v>104</v>
      </c>
      <c r="J7" s="19" t="s">
        <v>472</v>
      </c>
    </row>
    <row r="8" spans="1:10" ht="30.75" customHeight="1" x14ac:dyDescent="0.55000000000000004">
      <c r="A8" s="24" t="s">
        <v>184</v>
      </c>
      <c r="B8" s="24" t="s">
        <v>473</v>
      </c>
      <c r="C8" s="24" t="s">
        <v>186</v>
      </c>
      <c r="D8" s="24" t="s">
        <v>150</v>
      </c>
      <c r="E8" s="24" t="s">
        <v>151</v>
      </c>
      <c r="F8" s="25">
        <v>800</v>
      </c>
      <c r="G8" s="26">
        <v>40969</v>
      </c>
      <c r="H8" s="27">
        <v>14000000</v>
      </c>
      <c r="I8" s="24" t="s">
        <v>193</v>
      </c>
      <c r="J8" s="24" t="s">
        <v>474</v>
      </c>
    </row>
    <row r="9" spans="1:10" ht="21.75" customHeight="1" x14ac:dyDescent="0.55000000000000004">
      <c r="A9" s="24" t="s">
        <v>99</v>
      </c>
      <c r="B9" s="24" t="s">
        <v>475</v>
      </c>
      <c r="C9" s="24" t="s">
        <v>101</v>
      </c>
      <c r="D9" s="24" t="s">
        <v>476</v>
      </c>
      <c r="E9" s="24" t="s">
        <v>109</v>
      </c>
      <c r="F9" s="25">
        <v>45000</v>
      </c>
      <c r="G9" s="26">
        <v>42156</v>
      </c>
      <c r="H9" s="27">
        <v>9000000</v>
      </c>
      <c r="I9" s="24" t="s">
        <v>105</v>
      </c>
      <c r="J9" s="24" t="s">
        <v>114</v>
      </c>
    </row>
    <row r="10" spans="1:10" ht="21.75" customHeight="1" x14ac:dyDescent="0.55000000000000004">
      <c r="A10" s="24" t="s">
        <v>147</v>
      </c>
      <c r="B10" s="24" t="s">
        <v>477</v>
      </c>
      <c r="C10" s="24" t="s">
        <v>148</v>
      </c>
      <c r="D10" s="24" t="s">
        <v>150</v>
      </c>
      <c r="E10" s="24" t="s">
        <v>151</v>
      </c>
      <c r="F10" s="25">
        <v>1200</v>
      </c>
      <c r="G10" s="26">
        <v>43586</v>
      </c>
      <c r="H10" s="27">
        <v>24000000</v>
      </c>
      <c r="I10" s="24" t="s">
        <v>105</v>
      </c>
      <c r="J10" s="24" t="s">
        <v>155</v>
      </c>
    </row>
    <row r="11" spans="1:10" ht="21.75" customHeight="1" x14ac:dyDescent="0.55000000000000004">
      <c r="A11" s="24" t="s">
        <v>478</v>
      </c>
      <c r="B11" s="24" t="s">
        <v>479</v>
      </c>
      <c r="C11" s="24" t="s">
        <v>480</v>
      </c>
      <c r="D11" s="24" t="s">
        <v>481</v>
      </c>
      <c r="E11" s="24" t="s">
        <v>482</v>
      </c>
      <c r="F11" s="25">
        <v>250000</v>
      </c>
      <c r="G11" s="26">
        <v>40179</v>
      </c>
      <c r="H11" s="27">
        <v>30000000</v>
      </c>
      <c r="I11" s="24" t="s">
        <v>483</v>
      </c>
      <c r="J11" s="24" t="s">
        <v>484</v>
      </c>
    </row>
    <row r="12" spans="1:10" ht="21.75" customHeight="1" x14ac:dyDescent="0.55000000000000004">
      <c r="A12" s="24" t="s">
        <v>485</v>
      </c>
      <c r="B12" s="24" t="s">
        <v>486</v>
      </c>
      <c r="C12" s="24" t="s">
        <v>186</v>
      </c>
      <c r="D12" s="24" t="s">
        <v>481</v>
      </c>
      <c r="E12" s="24" t="s">
        <v>482</v>
      </c>
      <c r="F12" s="25">
        <v>600</v>
      </c>
      <c r="G12" s="26">
        <v>43344</v>
      </c>
      <c r="H12" s="27">
        <v>11000000</v>
      </c>
      <c r="I12" s="24" t="s">
        <v>483</v>
      </c>
      <c r="J12" s="24" t="s">
        <v>487</v>
      </c>
    </row>
    <row r="13" spans="1:10" ht="21.75" customHeight="1" x14ac:dyDescent="0.55000000000000004">
      <c r="A13" s="15"/>
      <c r="B13" s="15"/>
      <c r="C13" s="15"/>
      <c r="D13" s="15"/>
      <c r="E13" s="15"/>
      <c r="F13" s="41"/>
      <c r="G13" s="15"/>
      <c r="H13" s="36"/>
      <c r="I13" s="15"/>
      <c r="J13" s="15"/>
    </row>
    <row r="14" spans="1:10" ht="21.75" customHeight="1" x14ac:dyDescent="0.55000000000000004">
      <c r="A14" s="15"/>
      <c r="B14" s="15"/>
      <c r="C14" s="15"/>
      <c r="D14" s="15"/>
      <c r="E14" s="15"/>
      <c r="F14" s="41"/>
      <c r="G14" s="15"/>
      <c r="H14" s="36"/>
      <c r="I14" s="15"/>
      <c r="J14" s="15"/>
    </row>
    <row r="15" spans="1:10" ht="21.75" customHeight="1" x14ac:dyDescent="0.55000000000000004">
      <c r="A15" s="15"/>
      <c r="B15" s="15"/>
      <c r="C15" s="15"/>
      <c r="D15" s="15"/>
      <c r="E15" s="15"/>
      <c r="F15" s="41"/>
      <c r="G15" s="15"/>
      <c r="H15" s="36"/>
      <c r="I15" s="15"/>
      <c r="J15" s="15"/>
    </row>
    <row r="16" spans="1:10" ht="21.75" customHeight="1" x14ac:dyDescent="0.55000000000000004">
      <c r="A16" s="15"/>
      <c r="B16" s="15"/>
      <c r="C16" s="15"/>
      <c r="D16" s="15"/>
      <c r="E16" s="15"/>
      <c r="F16" s="41"/>
      <c r="G16" s="15"/>
      <c r="H16" s="36"/>
      <c r="I16" s="15"/>
      <c r="J16" s="15"/>
    </row>
    <row r="17" spans="1:10" ht="21.75" customHeight="1" x14ac:dyDescent="0.55000000000000004">
      <c r="A17" s="15"/>
      <c r="B17" s="15"/>
      <c r="C17" s="15"/>
      <c r="D17" s="15"/>
      <c r="E17" s="15"/>
      <c r="F17" s="41"/>
      <c r="G17" s="15"/>
      <c r="H17" s="36"/>
      <c r="I17" s="15"/>
      <c r="J17" s="15"/>
    </row>
    <row r="18" spans="1:10" ht="21.75" customHeight="1" x14ac:dyDescent="0.55000000000000004">
      <c r="A18" s="15"/>
      <c r="B18" s="15"/>
      <c r="C18" s="15"/>
      <c r="D18" s="15"/>
      <c r="E18" s="15"/>
      <c r="F18" s="41"/>
      <c r="G18" s="15"/>
      <c r="H18" s="36"/>
      <c r="I18" s="15"/>
      <c r="J18" s="15"/>
    </row>
    <row r="19" spans="1:10" ht="21.75" customHeight="1" x14ac:dyDescent="0.55000000000000004">
      <c r="A19" s="15"/>
      <c r="B19" s="15"/>
      <c r="C19" s="15"/>
      <c r="D19" s="15"/>
      <c r="E19" s="15"/>
      <c r="F19" s="41"/>
      <c r="G19" s="15"/>
      <c r="H19" s="36"/>
      <c r="I19" s="15"/>
      <c r="J19" s="15"/>
    </row>
    <row r="20" spans="1:10" ht="18" customHeight="1" x14ac:dyDescent="0.55000000000000004">
      <c r="A20" s="50" t="s">
        <v>393</v>
      </c>
      <c r="B20" s="50"/>
      <c r="C20" s="50"/>
      <c r="D20" s="50"/>
      <c r="E20" s="50"/>
      <c r="F20" s="42">
        <f>SUM(F8:F19)</f>
        <v>297600</v>
      </c>
      <c r="G20" s="34"/>
      <c r="H20" s="33">
        <f>SUM(H8:H19)</f>
        <v>88000000</v>
      </c>
      <c r="I20" s="51"/>
      <c r="J20" s="51"/>
    </row>
    <row r="22" spans="1:10" ht="18" customHeight="1" x14ac:dyDescent="0.55000000000000004">
      <c r="A22" s="2" t="s">
        <v>488</v>
      </c>
      <c r="B22" s="2"/>
      <c r="C22" s="2"/>
      <c r="D22" s="19" t="s">
        <v>489</v>
      </c>
      <c r="E22" s="54" t="s">
        <v>112</v>
      </c>
      <c r="F22" s="54"/>
    </row>
    <row r="23" spans="1:10" ht="18" customHeight="1" x14ac:dyDescent="0.55000000000000004">
      <c r="A23" s="9" t="s">
        <v>480</v>
      </c>
      <c r="B23" s="9"/>
      <c r="C23" s="9"/>
      <c r="D23" s="16">
        <f>COUNTIF($C$8:$C$19,A23)</f>
        <v>1</v>
      </c>
      <c r="E23" s="49">
        <f>SUMIF($C$8:$C$19,A23,$H$8:$H$19)</f>
        <v>30000000</v>
      </c>
      <c r="F23" s="49"/>
    </row>
    <row r="24" spans="1:10" ht="18" customHeight="1" x14ac:dyDescent="0.55000000000000004">
      <c r="A24" s="9" t="s">
        <v>101</v>
      </c>
      <c r="B24" s="9"/>
      <c r="C24" s="9"/>
      <c r="D24" s="16">
        <f>COUNTIF($C$8:$C$19,A24)</f>
        <v>1</v>
      </c>
      <c r="E24" s="49">
        <f>SUMIF($C$8:$C$19,A24,$H$8:$H$19)</f>
        <v>9000000</v>
      </c>
      <c r="F24" s="49"/>
    </row>
    <row r="25" spans="1:10" ht="18" customHeight="1" x14ac:dyDescent="0.55000000000000004">
      <c r="A25" s="9" t="s">
        <v>186</v>
      </c>
      <c r="B25" s="9"/>
      <c r="C25" s="9"/>
      <c r="D25" s="16">
        <f>COUNTIF($C$8:$C$19,A25)</f>
        <v>2</v>
      </c>
      <c r="E25" s="49">
        <f>SUMIF($C$8:$C$19,A25,$H$8:$H$19)</f>
        <v>25000000</v>
      </c>
      <c r="F25" s="49"/>
    </row>
    <row r="26" spans="1:10" ht="18" customHeight="1" x14ac:dyDescent="0.55000000000000004">
      <c r="A26" s="9" t="s">
        <v>148</v>
      </c>
      <c r="B26" s="9"/>
      <c r="C26" s="9"/>
      <c r="D26" s="16">
        <f>COUNTIF($C$8:$C$19,A26)</f>
        <v>1</v>
      </c>
      <c r="E26" s="49">
        <f>SUMIF($C$8:$C$19,A26,$H$8:$H$19)</f>
        <v>24000000</v>
      </c>
      <c r="F26" s="49"/>
    </row>
    <row r="28" spans="1:10" ht="18" customHeight="1" x14ac:dyDescent="0.55000000000000004">
      <c r="A28" s="9" t="s">
        <v>139</v>
      </c>
      <c r="B28" s="9"/>
      <c r="C28" s="9"/>
      <c r="D28" s="9"/>
      <c r="E28" s="9"/>
      <c r="F28" s="9"/>
      <c r="G28" s="9"/>
      <c r="H28" s="9"/>
      <c r="I28" s="9"/>
      <c r="J28" s="9"/>
    </row>
    <row r="29" spans="1:10" ht="30.75" customHeight="1" x14ac:dyDescent="0.55000000000000004">
      <c r="A29" s="7" t="s">
        <v>490</v>
      </c>
      <c r="B29" s="7"/>
      <c r="C29" s="7"/>
      <c r="D29" s="7"/>
      <c r="E29" s="7"/>
      <c r="F29" s="7"/>
      <c r="G29" s="7"/>
      <c r="H29" s="7"/>
      <c r="I29" s="7"/>
      <c r="J29" s="7"/>
    </row>
    <row r="30" spans="1:10" ht="30.75" customHeight="1" x14ac:dyDescent="0.55000000000000004">
      <c r="A30" s="7" t="s">
        <v>491</v>
      </c>
      <c r="B30" s="7"/>
      <c r="C30" s="7"/>
      <c r="D30" s="7"/>
      <c r="E30" s="7"/>
      <c r="F30" s="7"/>
      <c r="G30" s="7"/>
      <c r="H30" s="7"/>
      <c r="I30" s="7"/>
      <c r="J30" s="7"/>
    </row>
  </sheetData>
  <mergeCells count="23">
    <mergeCell ref="A28:J28"/>
    <mergeCell ref="A29:J29"/>
    <mergeCell ref="A30:J30"/>
    <mergeCell ref="A24:C24"/>
    <mergeCell ref="E24:F24"/>
    <mergeCell ref="A25:C25"/>
    <mergeCell ref="E25:F25"/>
    <mergeCell ref="A26:C26"/>
    <mergeCell ref="E26:F26"/>
    <mergeCell ref="A20:E20"/>
    <mergeCell ref="I20:J20"/>
    <mergeCell ref="A22:C22"/>
    <mergeCell ref="E22:F22"/>
    <mergeCell ref="A23:C23"/>
    <mergeCell ref="E23:F23"/>
    <mergeCell ref="A1:B3"/>
    <mergeCell ref="C1:J1"/>
    <mergeCell ref="C2:J2"/>
    <mergeCell ref="C3:J3"/>
    <mergeCell ref="A5:B5"/>
    <mergeCell ref="C5:E5"/>
    <mergeCell ref="F5:G5"/>
    <mergeCell ref="H5:J5"/>
  </mergeCells>
  <pageMargins left="0.5" right="0.5" top="1" bottom="1" header="0.511811023622047" footer="0.5"/>
  <pageSetup paperSize="9" fitToHeight="0" orientation="landscape" horizontalDpi="300" verticalDpi="300"/>
  <headerFooter>
    <oddFooter>&amp;LPP-14 | Crest Point Consulting Group&amp;CPage &amp;P of &amp;N&amp;RStrictly Confidential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1F3864"/>
    <pageSetUpPr fitToPage="1"/>
  </sheetPr>
  <dimension ref="A1:F32"/>
  <sheetViews>
    <sheetView showGridLines="0" zoomScaleNormal="100" workbookViewId="0">
      <selection sqref="A1:B3"/>
    </sheetView>
  </sheetViews>
  <sheetFormatPr defaultColWidth="8.68359375" defaultRowHeight="14.4" x14ac:dyDescent="0.55000000000000004"/>
  <cols>
    <col min="1" max="1" width="7" customWidth="1"/>
    <col min="2" max="2" width="16" customWidth="1"/>
    <col min="3" max="3" width="32" customWidth="1"/>
    <col min="4" max="4" width="36" customWidth="1"/>
    <col min="5" max="6" width="17" customWidth="1"/>
  </cols>
  <sheetData>
    <row r="1" spans="1:6" ht="43.5" customHeight="1" x14ac:dyDescent="0.55000000000000004">
      <c r="A1" s="6" t="s">
        <v>94</v>
      </c>
      <c r="B1" s="6"/>
      <c r="C1" s="5" t="s">
        <v>0</v>
      </c>
      <c r="D1" s="5"/>
      <c r="E1" s="5"/>
      <c r="F1" s="5"/>
    </row>
    <row r="2" spans="1:6" ht="21.75" customHeight="1" x14ac:dyDescent="0.55000000000000004">
      <c r="A2" s="6"/>
      <c r="B2" s="6"/>
      <c r="C2" s="4" t="s">
        <v>492</v>
      </c>
      <c r="D2" s="4"/>
      <c r="E2" s="4"/>
      <c r="F2" s="4"/>
    </row>
    <row r="3" spans="1:6" ht="21.75" customHeight="1" x14ac:dyDescent="0.55000000000000004">
      <c r="A3" s="6"/>
      <c r="B3" s="6"/>
      <c r="C3" s="3" t="s">
        <v>493</v>
      </c>
      <c r="D3" s="3"/>
      <c r="E3" s="3"/>
      <c r="F3" s="3"/>
    </row>
    <row r="5" spans="1:6" ht="18" customHeight="1" x14ac:dyDescent="0.55000000000000004">
      <c r="A5" s="2" t="s">
        <v>494</v>
      </c>
      <c r="B5" s="2"/>
      <c r="C5" s="2"/>
      <c r="D5" s="2"/>
      <c r="E5" s="2"/>
      <c r="F5" s="2"/>
    </row>
    <row r="6" spans="1:6" ht="19.5" customHeight="1" x14ac:dyDescent="0.55000000000000004">
      <c r="A6" s="9" t="s">
        <v>443</v>
      </c>
      <c r="B6" s="9"/>
      <c r="C6" s="23" t="s">
        <v>495</v>
      </c>
      <c r="D6" s="13" t="s">
        <v>496</v>
      </c>
      <c r="E6" s="55">
        <v>46307.385416666701</v>
      </c>
      <c r="F6" s="55"/>
    </row>
    <row r="7" spans="1:6" ht="19.5" customHeight="1" x14ac:dyDescent="0.55000000000000004">
      <c r="A7" s="9" t="s">
        <v>497</v>
      </c>
      <c r="B7" s="9"/>
      <c r="C7" s="23" t="s">
        <v>498</v>
      </c>
      <c r="D7" s="13" t="s">
        <v>499</v>
      </c>
      <c r="E7" s="44" t="s">
        <v>151</v>
      </c>
      <c r="F7" s="44"/>
    </row>
    <row r="8" spans="1:6" ht="19.5" customHeight="1" x14ac:dyDescent="0.55000000000000004">
      <c r="A8" s="9" t="s">
        <v>500</v>
      </c>
      <c r="B8" s="9"/>
      <c r="C8" s="24" t="s">
        <v>501</v>
      </c>
      <c r="D8" s="13" t="s">
        <v>502</v>
      </c>
      <c r="E8" s="1" t="s">
        <v>220</v>
      </c>
      <c r="F8" s="1"/>
    </row>
    <row r="9" spans="1:6" ht="19.5" customHeight="1" x14ac:dyDescent="0.55000000000000004">
      <c r="A9" s="9" t="s">
        <v>503</v>
      </c>
      <c r="B9" s="9"/>
      <c r="C9" s="23" t="s">
        <v>205</v>
      </c>
      <c r="D9" s="13" t="s">
        <v>504</v>
      </c>
      <c r="E9" s="44" t="s">
        <v>505</v>
      </c>
      <c r="F9" s="44"/>
    </row>
    <row r="10" spans="1:6" ht="30" customHeight="1" x14ac:dyDescent="0.55000000000000004">
      <c r="A10" s="9" t="s">
        <v>506</v>
      </c>
      <c r="B10" s="9"/>
      <c r="C10" s="1" t="s">
        <v>507</v>
      </c>
      <c r="D10" s="1"/>
      <c r="E10" s="1"/>
      <c r="F10" s="1"/>
    </row>
    <row r="11" spans="1:6" ht="30" customHeight="1" x14ac:dyDescent="0.55000000000000004">
      <c r="A11" s="9" t="s">
        <v>508</v>
      </c>
      <c r="B11" s="9"/>
      <c r="C11" s="1" t="s">
        <v>509</v>
      </c>
      <c r="D11" s="1"/>
      <c r="E11" s="1"/>
      <c r="F11" s="1"/>
    </row>
    <row r="12" spans="1:6" ht="30" customHeight="1" x14ac:dyDescent="0.55000000000000004">
      <c r="A12" s="9" t="s">
        <v>510</v>
      </c>
      <c r="B12" s="9"/>
      <c r="C12" s="1" t="s">
        <v>511</v>
      </c>
      <c r="D12" s="1"/>
      <c r="E12" s="1"/>
      <c r="F12" s="1"/>
    </row>
    <row r="14" spans="1:6" ht="18" customHeight="1" x14ac:dyDescent="0.55000000000000004">
      <c r="A14" s="2" t="s">
        <v>512</v>
      </c>
      <c r="B14" s="2"/>
      <c r="C14" s="2"/>
      <c r="D14" s="2"/>
      <c r="E14" s="2"/>
      <c r="F14" s="2"/>
    </row>
    <row r="15" spans="1:6" ht="19.5" customHeight="1" x14ac:dyDescent="0.55000000000000004">
      <c r="A15" s="9" t="s">
        <v>513</v>
      </c>
      <c r="B15" s="9"/>
      <c r="C15" s="24" t="s">
        <v>128</v>
      </c>
      <c r="D15" s="13" t="s">
        <v>514</v>
      </c>
      <c r="E15" s="55">
        <v>46307.416666666701</v>
      </c>
      <c r="F15" s="55"/>
    </row>
    <row r="16" spans="1:6" ht="30.75" customHeight="1" x14ac:dyDescent="0.55000000000000004">
      <c r="A16" s="9" t="s">
        <v>456</v>
      </c>
      <c r="B16" s="9"/>
      <c r="C16" s="1"/>
      <c r="D16" s="1"/>
      <c r="E16" s="1"/>
      <c r="F16" s="1"/>
    </row>
    <row r="17" spans="1:6" ht="30.75" customHeight="1" x14ac:dyDescent="0.55000000000000004">
      <c r="A17" s="9" t="s">
        <v>515</v>
      </c>
      <c r="B17" s="9"/>
      <c r="C17" s="23" t="s">
        <v>516</v>
      </c>
      <c r="D17" s="13" t="s">
        <v>517</v>
      </c>
      <c r="E17" s="44" t="s">
        <v>518</v>
      </c>
      <c r="F17" s="44"/>
    </row>
    <row r="19" spans="1:6" ht="18" customHeight="1" x14ac:dyDescent="0.55000000000000004">
      <c r="A19" s="2" t="s">
        <v>519</v>
      </c>
      <c r="B19" s="2"/>
      <c r="C19" s="2"/>
      <c r="D19" s="2"/>
      <c r="E19" s="2"/>
      <c r="F19" s="2"/>
    </row>
    <row r="20" spans="1:6" ht="18" customHeight="1" x14ac:dyDescent="0.55000000000000004">
      <c r="A20" s="9" t="s">
        <v>520</v>
      </c>
      <c r="B20" s="9"/>
      <c r="C20" s="9"/>
      <c r="D20" s="56" t="s">
        <v>521</v>
      </c>
      <c r="E20" s="56"/>
      <c r="F20" s="56"/>
    </row>
    <row r="21" spans="1:6" ht="18" customHeight="1" x14ac:dyDescent="0.55000000000000004">
      <c r="A21" s="9" t="s">
        <v>522</v>
      </c>
      <c r="B21" s="9"/>
      <c r="C21" s="9"/>
      <c r="D21" s="56" t="s">
        <v>521</v>
      </c>
      <c r="E21" s="56"/>
      <c r="F21" s="56"/>
    </row>
    <row r="22" spans="1:6" ht="18" customHeight="1" x14ac:dyDescent="0.55000000000000004">
      <c r="A22" s="9" t="s">
        <v>523</v>
      </c>
      <c r="B22" s="9"/>
      <c r="C22" s="9"/>
      <c r="D22" s="56" t="s">
        <v>521</v>
      </c>
      <c r="E22" s="56"/>
      <c r="F22" s="56"/>
    </row>
    <row r="23" spans="1:6" ht="18" customHeight="1" x14ac:dyDescent="0.55000000000000004">
      <c r="A23" s="9" t="s">
        <v>524</v>
      </c>
      <c r="B23" s="9"/>
      <c r="C23" s="9"/>
      <c r="D23" s="56" t="s">
        <v>521</v>
      </c>
      <c r="E23" s="56"/>
      <c r="F23" s="56"/>
    </row>
    <row r="25" spans="1:6" ht="30.75" customHeight="1" x14ac:dyDescent="0.55000000000000004">
      <c r="A25" s="45" t="s">
        <v>525</v>
      </c>
      <c r="B25" s="45"/>
      <c r="C25" s="45"/>
      <c r="D25" s="45" t="s">
        <v>526</v>
      </c>
      <c r="E25" s="45"/>
      <c r="F25" s="45"/>
    </row>
    <row r="26" spans="1:6" ht="19.5" customHeight="1" x14ac:dyDescent="0.55000000000000004">
      <c r="A26" s="8" t="s">
        <v>135</v>
      </c>
      <c r="B26" s="8"/>
      <c r="C26" s="8"/>
      <c r="D26" s="8" t="s">
        <v>135</v>
      </c>
      <c r="E26" s="8"/>
      <c r="F26" s="8"/>
    </row>
    <row r="27" spans="1:6" ht="19.5" customHeight="1" x14ac:dyDescent="0.55000000000000004">
      <c r="A27" s="8" t="s">
        <v>136</v>
      </c>
      <c r="B27" s="8"/>
      <c r="C27" s="8"/>
      <c r="D27" s="8" t="s">
        <v>136</v>
      </c>
      <c r="E27" s="8"/>
      <c r="F27" s="8"/>
    </row>
    <row r="28" spans="1:6" ht="43.5" customHeight="1" x14ac:dyDescent="0.55000000000000004">
      <c r="A28" s="46" t="s">
        <v>137</v>
      </c>
      <c r="B28" s="46"/>
      <c r="C28" s="46"/>
      <c r="D28" s="46" t="s">
        <v>137</v>
      </c>
      <c r="E28" s="46"/>
      <c r="F28" s="46"/>
    </row>
    <row r="29" spans="1:6" ht="19.5" customHeight="1" x14ac:dyDescent="0.55000000000000004">
      <c r="A29" s="8" t="s">
        <v>138</v>
      </c>
      <c r="B29" s="8"/>
      <c r="C29" s="8"/>
      <c r="D29" s="8" t="s">
        <v>138</v>
      </c>
      <c r="E29" s="8"/>
      <c r="F29" s="8"/>
    </row>
    <row r="31" spans="1:6" ht="18" customHeight="1" x14ac:dyDescent="0.55000000000000004">
      <c r="A31" s="9" t="s">
        <v>139</v>
      </c>
      <c r="B31" s="9"/>
      <c r="C31" s="9"/>
      <c r="D31" s="9"/>
      <c r="E31" s="9"/>
      <c r="F31" s="9"/>
    </row>
    <row r="32" spans="1:6" ht="43.5" customHeight="1" x14ac:dyDescent="0.55000000000000004">
      <c r="A32" s="7" t="s">
        <v>527</v>
      </c>
      <c r="B32" s="7"/>
      <c r="C32" s="7"/>
      <c r="D32" s="7"/>
      <c r="E32" s="7"/>
      <c r="F32" s="7"/>
    </row>
  </sheetData>
  <mergeCells count="47">
    <mergeCell ref="A31:F31"/>
    <mergeCell ref="A32:F32"/>
    <mergeCell ref="A27:C27"/>
    <mergeCell ref="D27:F27"/>
    <mergeCell ref="A28:C28"/>
    <mergeCell ref="D28:F28"/>
    <mergeCell ref="A29:C29"/>
    <mergeCell ref="D29:F29"/>
    <mergeCell ref="A23:C23"/>
    <mergeCell ref="D23:F23"/>
    <mergeCell ref="A25:C25"/>
    <mergeCell ref="D25:F25"/>
    <mergeCell ref="A26:C26"/>
    <mergeCell ref="D26:F26"/>
    <mergeCell ref="A20:C20"/>
    <mergeCell ref="D20:F20"/>
    <mergeCell ref="A21:C21"/>
    <mergeCell ref="D21:F21"/>
    <mergeCell ref="A22:C22"/>
    <mergeCell ref="D22:F22"/>
    <mergeCell ref="A16:B16"/>
    <mergeCell ref="C16:F16"/>
    <mergeCell ref="A17:B17"/>
    <mergeCell ref="E17:F17"/>
    <mergeCell ref="A19:F19"/>
    <mergeCell ref="A12:B12"/>
    <mergeCell ref="C12:F12"/>
    <mergeCell ref="A14:F14"/>
    <mergeCell ref="A15:B15"/>
    <mergeCell ref="E15:F15"/>
    <mergeCell ref="A9:B9"/>
    <mergeCell ref="E9:F9"/>
    <mergeCell ref="A10:B10"/>
    <mergeCell ref="C10:F10"/>
    <mergeCell ref="A11:B11"/>
    <mergeCell ref="C11:F11"/>
    <mergeCell ref="A6:B6"/>
    <mergeCell ref="E6:F6"/>
    <mergeCell ref="A7:B7"/>
    <mergeCell ref="E7:F7"/>
    <mergeCell ref="A8:B8"/>
    <mergeCell ref="E8:F8"/>
    <mergeCell ref="A1:B3"/>
    <mergeCell ref="C1:F1"/>
    <mergeCell ref="C2:F2"/>
    <mergeCell ref="C3:F3"/>
    <mergeCell ref="A5:F5"/>
  </mergeCells>
  <dataValidations count="2">
    <dataValidation type="list" allowBlank="1" sqref="C8" xr:uid="{00000000-0002-0000-0F00-000000000000}">
      <formula1>"Land Registration,Building Registration,In-Use Property Record,Tenancy Record,Follow-Up Log entry,Other"</formula1>
      <formula2>0</formula2>
    </dataValidation>
    <dataValidation type="list" allowBlank="1" sqref="C15" xr:uid="{00000000-0002-0000-0F00-000001000000}">
      <formula1>"Approved,Rejected"</formula1>
      <formula2>0</formula2>
    </dataValidation>
  </dataValidations>
  <pageMargins left="0.5" right="0.5" top="1" bottom="1" header="0.511811023622047" footer="0.5"/>
  <pageSetup paperSize="9" fitToHeight="0" orientation="portrait" horizontalDpi="300" verticalDpi="300"/>
  <headerFooter>
    <oddFooter>&amp;LPP-15 | Crest Point Consulting Group&amp;CPage &amp;P of &amp;N&amp;RStrictly Confidential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7F7F7F"/>
    <pageSetUpPr fitToPage="1"/>
  </sheetPr>
  <dimension ref="A1:G16"/>
  <sheetViews>
    <sheetView showGridLines="0" zoomScaleNormal="100" workbookViewId="0">
      <pane ySplit="5" topLeftCell="A6" activePane="bottomLeft" state="frozen"/>
      <selection pane="bottomLeft" sqref="A1:B3"/>
    </sheetView>
  </sheetViews>
  <sheetFormatPr defaultColWidth="8.68359375" defaultRowHeight="14.4" x14ac:dyDescent="0.55000000000000004"/>
  <cols>
    <col min="1" max="2" width="28" customWidth="1"/>
    <col min="3" max="3" width="30" customWidth="1"/>
    <col min="4" max="4" width="32" customWidth="1"/>
    <col min="5" max="5" width="28" customWidth="1"/>
    <col min="6" max="6" width="30" customWidth="1"/>
    <col min="7" max="7" width="40" customWidth="1"/>
  </cols>
  <sheetData>
    <row r="1" spans="1:7" ht="21.75" customHeight="1" x14ac:dyDescent="0.55000000000000004">
      <c r="A1" s="6" t="s">
        <v>94</v>
      </c>
      <c r="B1" s="6"/>
      <c r="C1" s="5" t="s">
        <v>0</v>
      </c>
      <c r="D1" s="5"/>
      <c r="E1" s="5"/>
      <c r="F1" s="5"/>
      <c r="G1" s="5"/>
    </row>
    <row r="2" spans="1:7" ht="21.75" customHeight="1" x14ac:dyDescent="0.55000000000000004">
      <c r="A2" s="6"/>
      <c r="B2" s="6"/>
      <c r="C2" s="4" t="s">
        <v>528</v>
      </c>
      <c r="D2" s="4"/>
      <c r="E2" s="4"/>
      <c r="F2" s="4"/>
      <c r="G2" s="4"/>
    </row>
    <row r="3" spans="1:7" ht="21.75" customHeight="1" x14ac:dyDescent="0.55000000000000004">
      <c r="A3" s="6"/>
      <c r="B3" s="6"/>
      <c r="C3" s="3" t="s">
        <v>529</v>
      </c>
      <c r="D3" s="3"/>
      <c r="E3" s="3"/>
      <c r="F3" s="3"/>
      <c r="G3" s="3"/>
    </row>
    <row r="5" spans="1:7" ht="33.75" customHeight="1" x14ac:dyDescent="0.55000000000000004">
      <c r="A5" s="19" t="s">
        <v>530</v>
      </c>
      <c r="B5" s="19" t="s">
        <v>531</v>
      </c>
      <c r="C5" s="19" t="s">
        <v>532</v>
      </c>
      <c r="D5" s="19" t="s">
        <v>533</v>
      </c>
      <c r="E5" s="19" t="s">
        <v>534</v>
      </c>
      <c r="F5" s="19" t="s">
        <v>535</v>
      </c>
      <c r="G5" s="19" t="s">
        <v>536</v>
      </c>
    </row>
    <row r="6" spans="1:7" ht="43.5" customHeight="1" x14ac:dyDescent="0.55000000000000004">
      <c r="A6" s="15" t="s">
        <v>537</v>
      </c>
      <c r="B6" s="15" t="s">
        <v>538</v>
      </c>
      <c r="C6" s="15" t="s">
        <v>539</v>
      </c>
      <c r="D6" s="15" t="s">
        <v>540</v>
      </c>
      <c r="E6" s="15" t="s">
        <v>541</v>
      </c>
      <c r="F6" s="15" t="s">
        <v>542</v>
      </c>
      <c r="G6" s="15" t="s">
        <v>543</v>
      </c>
    </row>
    <row r="7" spans="1:7" ht="30.75" customHeight="1" x14ac:dyDescent="0.55000000000000004">
      <c r="A7" s="15" t="s">
        <v>544</v>
      </c>
      <c r="B7" s="15" t="s">
        <v>545</v>
      </c>
      <c r="C7" s="15" t="s">
        <v>546</v>
      </c>
      <c r="D7" s="15" t="s">
        <v>547</v>
      </c>
      <c r="E7" s="15" t="s">
        <v>547</v>
      </c>
      <c r="F7" s="15" t="s">
        <v>542</v>
      </c>
      <c r="G7" s="15" t="s">
        <v>548</v>
      </c>
    </row>
    <row r="8" spans="1:7" ht="30.75" customHeight="1" x14ac:dyDescent="0.55000000000000004">
      <c r="A8" s="15" t="s">
        <v>28</v>
      </c>
      <c r="B8" s="15" t="s">
        <v>549</v>
      </c>
      <c r="C8" s="15" t="s">
        <v>550</v>
      </c>
      <c r="D8" s="15" t="s">
        <v>547</v>
      </c>
      <c r="E8" s="15" t="s">
        <v>547</v>
      </c>
      <c r="F8" s="15" t="s">
        <v>542</v>
      </c>
      <c r="G8" s="15" t="s">
        <v>551</v>
      </c>
    </row>
    <row r="9" spans="1:7" ht="30.75" customHeight="1" x14ac:dyDescent="0.55000000000000004">
      <c r="A9" s="15" t="s">
        <v>552</v>
      </c>
      <c r="B9" s="15" t="s">
        <v>553</v>
      </c>
      <c r="C9" s="15" t="s">
        <v>554</v>
      </c>
      <c r="D9" s="15" t="s">
        <v>547</v>
      </c>
      <c r="E9" s="15" t="s">
        <v>547</v>
      </c>
      <c r="F9" s="15" t="s">
        <v>542</v>
      </c>
      <c r="G9" s="15" t="s">
        <v>555</v>
      </c>
    </row>
    <row r="10" spans="1:7" ht="43.5" customHeight="1" x14ac:dyDescent="0.55000000000000004">
      <c r="A10" s="15" t="s">
        <v>556</v>
      </c>
      <c r="B10" s="15" t="s">
        <v>557</v>
      </c>
      <c r="C10" s="15" t="s">
        <v>547</v>
      </c>
      <c r="D10" s="15" t="s">
        <v>547</v>
      </c>
      <c r="E10" s="15" t="s">
        <v>558</v>
      </c>
      <c r="F10" s="15" t="s">
        <v>559</v>
      </c>
      <c r="G10" s="15" t="s">
        <v>560</v>
      </c>
    </row>
    <row r="11" spans="1:7" ht="30.75" customHeight="1" x14ac:dyDescent="0.55000000000000004">
      <c r="A11" s="15" t="s">
        <v>48</v>
      </c>
      <c r="B11" s="15" t="s">
        <v>561</v>
      </c>
      <c r="C11" s="15" t="s">
        <v>562</v>
      </c>
      <c r="D11" s="15" t="s">
        <v>547</v>
      </c>
      <c r="E11" s="15" t="s">
        <v>547</v>
      </c>
      <c r="F11" s="15" t="s">
        <v>563</v>
      </c>
      <c r="G11" s="15" t="s">
        <v>564</v>
      </c>
    </row>
    <row r="12" spans="1:7" ht="30.75" customHeight="1" x14ac:dyDescent="0.55000000000000004">
      <c r="A12" s="15" t="s">
        <v>565</v>
      </c>
      <c r="B12" s="15" t="s">
        <v>566</v>
      </c>
      <c r="C12" s="15" t="s">
        <v>547</v>
      </c>
      <c r="D12" s="15" t="s">
        <v>547</v>
      </c>
      <c r="E12" s="15" t="s">
        <v>567</v>
      </c>
      <c r="F12" s="15" t="s">
        <v>542</v>
      </c>
      <c r="G12" s="15" t="s">
        <v>568</v>
      </c>
    </row>
    <row r="13" spans="1:7" ht="30.75" customHeight="1" x14ac:dyDescent="0.55000000000000004">
      <c r="A13" s="15" t="s">
        <v>569</v>
      </c>
      <c r="B13" s="15" t="s">
        <v>549</v>
      </c>
      <c r="C13" s="15" t="s">
        <v>570</v>
      </c>
      <c r="D13" s="15" t="s">
        <v>571</v>
      </c>
      <c r="E13" s="15" t="s">
        <v>572</v>
      </c>
      <c r="F13" s="15" t="s">
        <v>542</v>
      </c>
      <c r="G13" s="15" t="s">
        <v>573</v>
      </c>
    </row>
    <row r="14" spans="1:7" ht="30.75" customHeight="1" x14ac:dyDescent="0.55000000000000004">
      <c r="A14" s="15" t="s">
        <v>574</v>
      </c>
      <c r="B14" s="15" t="s">
        <v>549</v>
      </c>
      <c r="C14" s="15" t="s">
        <v>575</v>
      </c>
      <c r="D14" s="15" t="s">
        <v>547</v>
      </c>
      <c r="E14" s="15" t="s">
        <v>576</v>
      </c>
      <c r="F14" s="15" t="s">
        <v>577</v>
      </c>
      <c r="G14" s="15" t="s">
        <v>578</v>
      </c>
    </row>
    <row r="15" spans="1:7" ht="18" customHeight="1" x14ac:dyDescent="0.55000000000000004">
      <c r="A15" s="15" t="s">
        <v>64</v>
      </c>
      <c r="B15" s="15" t="s">
        <v>353</v>
      </c>
      <c r="C15" s="15" t="s">
        <v>579</v>
      </c>
      <c r="D15" s="15" t="s">
        <v>547</v>
      </c>
      <c r="E15" s="15" t="s">
        <v>576</v>
      </c>
      <c r="F15" s="15" t="s">
        <v>542</v>
      </c>
      <c r="G15" s="15" t="s">
        <v>580</v>
      </c>
    </row>
    <row r="16" spans="1:7" ht="30.75" customHeight="1" x14ac:dyDescent="0.55000000000000004">
      <c r="A16" s="15" t="s">
        <v>72</v>
      </c>
      <c r="B16" s="15" t="s">
        <v>549</v>
      </c>
      <c r="C16" s="15" t="s">
        <v>581</v>
      </c>
      <c r="D16" s="15" t="s">
        <v>547</v>
      </c>
      <c r="E16" s="15" t="s">
        <v>547</v>
      </c>
      <c r="F16" s="15" t="s">
        <v>582</v>
      </c>
      <c r="G16" s="15" t="s">
        <v>583</v>
      </c>
    </row>
  </sheetData>
  <mergeCells count="4">
    <mergeCell ref="A1:B3"/>
    <mergeCell ref="C1:G1"/>
    <mergeCell ref="C2:G2"/>
    <mergeCell ref="C3:G3"/>
  </mergeCells>
  <pageMargins left="0.5" right="0.5" top="1" bottom="1" header="0.511811023622047" footer="0.5"/>
  <pageSetup paperSize="9" fitToHeight="0" orientation="landscape" horizontalDpi="300" verticalDpi="300"/>
  <headerFooter>
    <oddFooter>&amp;LPP-16 | Crest Point Consulting Group&amp;CPage &amp;P of &amp;N&amp;RStrictly Confidential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7F7F7F"/>
    <pageSetUpPr fitToPage="1"/>
  </sheetPr>
  <dimension ref="A1:E17"/>
  <sheetViews>
    <sheetView showGridLines="0" zoomScaleNormal="100" workbookViewId="0">
      <selection sqref="A1:B3"/>
    </sheetView>
  </sheetViews>
  <sheetFormatPr defaultColWidth="8.68359375" defaultRowHeight="14.4" x14ac:dyDescent="0.55000000000000004"/>
  <cols>
    <col min="1" max="1" width="5" customWidth="1"/>
    <col min="2" max="2" width="50" customWidth="1"/>
    <col min="3" max="4" width="34" customWidth="1"/>
    <col min="5" max="5" width="50" customWidth="1"/>
  </cols>
  <sheetData>
    <row r="1" spans="1:5" ht="55.5" customHeight="1" x14ac:dyDescent="0.55000000000000004">
      <c r="A1" s="6" t="s">
        <v>94</v>
      </c>
      <c r="B1" s="6"/>
      <c r="C1" s="5" t="s">
        <v>0</v>
      </c>
      <c r="D1" s="5"/>
      <c r="E1" s="5"/>
    </row>
    <row r="2" spans="1:5" ht="21.75" customHeight="1" x14ac:dyDescent="0.55000000000000004">
      <c r="A2" s="6"/>
      <c r="B2" s="6"/>
      <c r="C2" s="4" t="s">
        <v>584</v>
      </c>
      <c r="D2" s="4"/>
      <c r="E2" s="4"/>
    </row>
    <row r="3" spans="1:5" ht="21.75" customHeight="1" x14ac:dyDescent="0.55000000000000004">
      <c r="A3" s="6"/>
      <c r="B3" s="6"/>
      <c r="C3" s="3" t="s">
        <v>585</v>
      </c>
      <c r="D3" s="3"/>
      <c r="E3" s="3"/>
    </row>
    <row r="5" spans="1:5" ht="30" customHeight="1" x14ac:dyDescent="0.55000000000000004">
      <c r="A5" s="19" t="s">
        <v>586</v>
      </c>
      <c r="B5" s="19" t="s">
        <v>587</v>
      </c>
      <c r="C5" s="19" t="s">
        <v>588</v>
      </c>
      <c r="D5" s="19" t="s">
        <v>589</v>
      </c>
      <c r="E5" s="19" t="s">
        <v>590</v>
      </c>
    </row>
    <row r="6" spans="1:5" ht="18" customHeight="1" x14ac:dyDescent="0.55000000000000004">
      <c r="A6" s="15">
        <v>1</v>
      </c>
      <c r="B6" s="15" t="s">
        <v>591</v>
      </c>
      <c r="C6" s="15" t="s">
        <v>592</v>
      </c>
      <c r="D6" s="15" t="s">
        <v>593</v>
      </c>
      <c r="E6" s="15" t="s">
        <v>594</v>
      </c>
    </row>
    <row r="7" spans="1:5" ht="30.75" customHeight="1" x14ac:dyDescent="0.55000000000000004">
      <c r="A7" s="15">
        <v>2</v>
      </c>
      <c r="B7" s="15" t="s">
        <v>595</v>
      </c>
      <c r="C7" s="15" t="s">
        <v>596</v>
      </c>
      <c r="D7" s="15" t="s">
        <v>593</v>
      </c>
      <c r="E7" s="15" t="s">
        <v>597</v>
      </c>
    </row>
    <row r="8" spans="1:5" ht="30.75" customHeight="1" x14ac:dyDescent="0.55000000000000004">
      <c r="A8" s="15">
        <v>3</v>
      </c>
      <c r="B8" s="15" t="s">
        <v>598</v>
      </c>
      <c r="C8" s="15" t="s">
        <v>599</v>
      </c>
      <c r="D8" s="15" t="s">
        <v>600</v>
      </c>
      <c r="E8" s="15" t="s">
        <v>601</v>
      </c>
    </row>
    <row r="9" spans="1:5" ht="18" customHeight="1" x14ac:dyDescent="0.55000000000000004">
      <c r="A9" s="15">
        <v>4</v>
      </c>
      <c r="B9" s="15" t="s">
        <v>602</v>
      </c>
      <c r="C9" s="15" t="s">
        <v>603</v>
      </c>
      <c r="D9" s="15" t="s">
        <v>604</v>
      </c>
      <c r="E9" s="15" t="s">
        <v>605</v>
      </c>
    </row>
    <row r="10" spans="1:5" ht="18" customHeight="1" x14ac:dyDescent="0.55000000000000004">
      <c r="A10" s="15">
        <v>5</v>
      </c>
      <c r="B10" s="15" t="s">
        <v>606</v>
      </c>
      <c r="C10" s="15" t="s">
        <v>607</v>
      </c>
      <c r="D10" s="15" t="s">
        <v>608</v>
      </c>
      <c r="E10" s="15" t="s">
        <v>609</v>
      </c>
    </row>
    <row r="11" spans="1:5" ht="18" customHeight="1" x14ac:dyDescent="0.55000000000000004">
      <c r="A11" s="15">
        <v>6</v>
      </c>
      <c r="B11" s="15" t="s">
        <v>610</v>
      </c>
      <c r="C11" s="15" t="s">
        <v>611</v>
      </c>
      <c r="D11" s="15" t="s">
        <v>603</v>
      </c>
      <c r="E11" s="15" t="s">
        <v>612</v>
      </c>
    </row>
    <row r="12" spans="1:5" ht="18" customHeight="1" x14ac:dyDescent="0.55000000000000004">
      <c r="A12" s="15">
        <v>7</v>
      </c>
      <c r="B12" s="15" t="s">
        <v>613</v>
      </c>
      <c r="C12" s="15" t="s">
        <v>608</v>
      </c>
      <c r="D12" s="15" t="s">
        <v>611</v>
      </c>
      <c r="E12" s="15" t="s">
        <v>614</v>
      </c>
    </row>
    <row r="13" spans="1:5" ht="30.75" customHeight="1" x14ac:dyDescent="0.55000000000000004">
      <c r="A13" s="15">
        <v>8</v>
      </c>
      <c r="B13" s="15" t="s">
        <v>615</v>
      </c>
      <c r="C13" s="15" t="s">
        <v>616</v>
      </c>
      <c r="D13" s="15" t="s">
        <v>617</v>
      </c>
      <c r="E13" s="15" t="s">
        <v>618</v>
      </c>
    </row>
    <row r="15" spans="1:5" ht="18" customHeight="1" x14ac:dyDescent="0.55000000000000004">
      <c r="A15" s="9" t="s">
        <v>139</v>
      </c>
      <c r="B15" s="9"/>
      <c r="C15" s="9"/>
      <c r="D15" s="9"/>
      <c r="E15" s="9"/>
    </row>
    <row r="16" spans="1:5" ht="33.75" customHeight="1" x14ac:dyDescent="0.55000000000000004">
      <c r="A16" s="7" t="s">
        <v>619</v>
      </c>
      <c r="B16" s="7"/>
      <c r="C16" s="7"/>
      <c r="D16" s="7"/>
      <c r="E16" s="7"/>
    </row>
    <row r="17" spans="1:5" ht="33.75" customHeight="1" x14ac:dyDescent="0.55000000000000004">
      <c r="A17" s="7" t="s">
        <v>620</v>
      </c>
      <c r="B17" s="7"/>
      <c r="C17" s="7"/>
      <c r="D17" s="7"/>
      <c r="E17" s="7"/>
    </row>
  </sheetData>
  <mergeCells count="7">
    <mergeCell ref="A16:E16"/>
    <mergeCell ref="A17:E17"/>
    <mergeCell ref="A1:B3"/>
    <mergeCell ref="C1:E1"/>
    <mergeCell ref="C2:E2"/>
    <mergeCell ref="C3:E3"/>
    <mergeCell ref="A15:E15"/>
  </mergeCells>
  <pageMargins left="0.5" right="0.5" top="1" bottom="1" header="0.511811023622047" footer="0.5"/>
  <pageSetup paperSize="9" fitToHeight="0" orientation="landscape" horizontalDpi="300" verticalDpi="300"/>
  <headerFooter>
    <oddFooter>&amp;LPP-17 | Crest Point Consulting Group&amp;CPage &amp;P of &amp;N&amp;RStrictly Confidential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7F7F7F"/>
    <pageSetUpPr fitToPage="1"/>
  </sheetPr>
  <dimension ref="A1:E17"/>
  <sheetViews>
    <sheetView showGridLines="0" zoomScaleNormal="100" workbookViewId="0">
      <selection sqref="A1:B3"/>
    </sheetView>
  </sheetViews>
  <sheetFormatPr defaultColWidth="8.68359375" defaultRowHeight="14.4" x14ac:dyDescent="0.55000000000000004"/>
  <cols>
    <col min="1" max="1" width="5" customWidth="1"/>
    <col min="2" max="2" width="42" customWidth="1"/>
    <col min="3" max="3" width="22" customWidth="1"/>
    <col min="4" max="4" width="70" customWidth="1"/>
    <col min="5" max="5" width="14" customWidth="1"/>
  </cols>
  <sheetData>
    <row r="1" spans="1:5" ht="55.5" customHeight="1" x14ac:dyDescent="0.55000000000000004">
      <c r="A1" s="6" t="s">
        <v>94</v>
      </c>
      <c r="B1" s="6"/>
      <c r="C1" s="5" t="s">
        <v>0</v>
      </c>
      <c r="D1" s="5"/>
      <c r="E1" s="5"/>
    </row>
    <row r="2" spans="1:5" ht="21.75" customHeight="1" x14ac:dyDescent="0.55000000000000004">
      <c r="A2" s="6"/>
      <c r="B2" s="6"/>
      <c r="C2" s="4" t="s">
        <v>621</v>
      </c>
      <c r="D2" s="4"/>
      <c r="E2" s="4"/>
    </row>
    <row r="3" spans="1:5" ht="21.75" customHeight="1" x14ac:dyDescent="0.55000000000000004">
      <c r="A3" s="6"/>
      <c r="B3" s="6"/>
      <c r="C3" s="3" t="s">
        <v>622</v>
      </c>
      <c r="D3" s="3"/>
      <c r="E3" s="3"/>
    </row>
    <row r="5" spans="1:5" ht="30" customHeight="1" x14ac:dyDescent="0.55000000000000004">
      <c r="A5" s="19" t="s">
        <v>586</v>
      </c>
      <c r="B5" s="19" t="s">
        <v>623</v>
      </c>
      <c r="C5" s="19" t="s">
        <v>624</v>
      </c>
      <c r="D5" s="19" t="s">
        <v>625</v>
      </c>
      <c r="E5" s="19" t="s">
        <v>626</v>
      </c>
    </row>
    <row r="6" spans="1:5" ht="30.75" customHeight="1" x14ac:dyDescent="0.55000000000000004">
      <c r="A6" s="15">
        <v>1</v>
      </c>
      <c r="B6" s="15" t="s">
        <v>627</v>
      </c>
      <c r="C6" s="15" t="s">
        <v>628</v>
      </c>
      <c r="D6" s="15" t="s">
        <v>629</v>
      </c>
      <c r="E6" s="15" t="s">
        <v>630</v>
      </c>
    </row>
    <row r="7" spans="1:5" ht="18" customHeight="1" x14ac:dyDescent="0.55000000000000004">
      <c r="A7" s="15">
        <v>2</v>
      </c>
      <c r="B7" s="15" t="s">
        <v>631</v>
      </c>
      <c r="C7" s="15" t="s">
        <v>628</v>
      </c>
      <c r="D7" s="15" t="s">
        <v>632</v>
      </c>
      <c r="E7" s="15" t="s">
        <v>630</v>
      </c>
    </row>
    <row r="8" spans="1:5" ht="30.75" customHeight="1" x14ac:dyDescent="0.55000000000000004">
      <c r="A8" s="15">
        <v>3</v>
      </c>
      <c r="B8" s="15" t="s">
        <v>633</v>
      </c>
      <c r="C8" s="15" t="s">
        <v>628</v>
      </c>
      <c r="D8" s="15" t="s">
        <v>634</v>
      </c>
      <c r="E8" s="15" t="s">
        <v>630</v>
      </c>
    </row>
    <row r="9" spans="1:5" ht="18" customHeight="1" x14ac:dyDescent="0.55000000000000004">
      <c r="A9" s="15">
        <v>4</v>
      </c>
      <c r="B9" s="15" t="s">
        <v>635</v>
      </c>
      <c r="C9" s="15" t="s">
        <v>628</v>
      </c>
      <c r="D9" s="15" t="s">
        <v>636</v>
      </c>
      <c r="E9" s="15" t="s">
        <v>630</v>
      </c>
    </row>
    <row r="10" spans="1:5" ht="18" customHeight="1" x14ac:dyDescent="0.55000000000000004">
      <c r="A10" s="15">
        <v>5</v>
      </c>
      <c r="B10" s="15" t="s">
        <v>637</v>
      </c>
      <c r="C10" s="15" t="s">
        <v>638</v>
      </c>
      <c r="D10" s="15" t="s">
        <v>639</v>
      </c>
      <c r="E10" s="15" t="s">
        <v>630</v>
      </c>
    </row>
    <row r="11" spans="1:5" ht="18" customHeight="1" x14ac:dyDescent="0.55000000000000004">
      <c r="A11" s="15">
        <v>6</v>
      </c>
      <c r="B11" s="15" t="s">
        <v>640</v>
      </c>
      <c r="C11" s="15" t="s">
        <v>638</v>
      </c>
      <c r="D11" s="15" t="s">
        <v>641</v>
      </c>
      <c r="E11" s="15" t="s">
        <v>630</v>
      </c>
    </row>
    <row r="12" spans="1:5" ht="18" customHeight="1" x14ac:dyDescent="0.55000000000000004">
      <c r="A12" s="15">
        <v>7</v>
      </c>
      <c r="B12" s="15" t="s">
        <v>642</v>
      </c>
      <c r="C12" s="15" t="s">
        <v>628</v>
      </c>
      <c r="D12" s="15" t="s">
        <v>643</v>
      </c>
      <c r="E12" s="15" t="s">
        <v>630</v>
      </c>
    </row>
    <row r="13" spans="1:5" ht="18" customHeight="1" x14ac:dyDescent="0.55000000000000004">
      <c r="A13" s="15">
        <v>8</v>
      </c>
      <c r="B13" s="15" t="s">
        <v>644</v>
      </c>
      <c r="C13" s="15" t="s">
        <v>628</v>
      </c>
      <c r="D13" s="15" t="s">
        <v>645</v>
      </c>
      <c r="E13" s="15" t="s">
        <v>630</v>
      </c>
    </row>
    <row r="14" spans="1:5" ht="18" customHeight="1" x14ac:dyDescent="0.55000000000000004">
      <c r="A14" s="15">
        <v>9</v>
      </c>
      <c r="B14" s="15" t="s">
        <v>646</v>
      </c>
      <c r="C14" s="15" t="s">
        <v>628</v>
      </c>
      <c r="D14" s="15" t="s">
        <v>647</v>
      </c>
      <c r="E14" s="15" t="s">
        <v>630</v>
      </c>
    </row>
    <row r="15" spans="1:5" ht="18" customHeight="1" x14ac:dyDescent="0.55000000000000004">
      <c r="A15" s="15">
        <v>10</v>
      </c>
      <c r="B15" s="15" t="s">
        <v>648</v>
      </c>
      <c r="C15" s="15" t="s">
        <v>628</v>
      </c>
      <c r="D15" s="15" t="s">
        <v>649</v>
      </c>
      <c r="E15" s="15" t="s">
        <v>630</v>
      </c>
    </row>
    <row r="16" spans="1:5" ht="18" customHeight="1" x14ac:dyDescent="0.55000000000000004">
      <c r="A16" s="15">
        <v>11</v>
      </c>
      <c r="B16" s="15" t="s">
        <v>650</v>
      </c>
      <c r="C16" s="15" t="s">
        <v>628</v>
      </c>
      <c r="D16" s="15" t="s">
        <v>651</v>
      </c>
      <c r="E16" s="15" t="s">
        <v>630</v>
      </c>
    </row>
    <row r="17" spans="1:5" ht="18" customHeight="1" x14ac:dyDescent="0.55000000000000004">
      <c r="A17" s="15">
        <v>12</v>
      </c>
      <c r="B17" s="15" t="s">
        <v>652</v>
      </c>
      <c r="C17" s="15" t="s">
        <v>628</v>
      </c>
      <c r="D17" s="15" t="s">
        <v>653</v>
      </c>
      <c r="E17" s="15" t="s">
        <v>630</v>
      </c>
    </row>
  </sheetData>
  <mergeCells count="4">
    <mergeCell ref="A1:B3"/>
    <mergeCell ref="C1:E1"/>
    <mergeCell ref="C2:E2"/>
    <mergeCell ref="C3:E3"/>
  </mergeCells>
  <pageMargins left="0.5" right="0.5" top="1" bottom="1" header="0.511811023622047" footer="0.5"/>
  <pageSetup paperSize="9" fitToHeight="0" orientation="landscape" horizontalDpi="300" verticalDpi="300"/>
  <headerFooter>
    <oddFooter>&amp;LPP-18 | Crest Point Consulting Group&amp;CPage &amp;P of &amp;N&amp;RStrictly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Index</vt:lpstr>
      <vt:lpstr>PP-01 Land Registration</vt:lpstr>
      <vt:lpstr>PP-02 Building Registration</vt:lpstr>
      <vt:lpstr>PP-03 In-Use Property Record</vt:lpstr>
      <vt:lpstr>PP-04 Tenancy Record</vt:lpstr>
      <vt:lpstr>PP-05 Rent Due Auto-Posting</vt:lpstr>
      <vt:lpstr>PP-06 Tenant Payment Receipt</vt:lpstr>
      <vt:lpstr>PP-07 IC Receipt Verification</vt:lpstr>
      <vt:lpstr>PP-08 Tenant Ledger</vt:lpstr>
      <vt:lpstr>PP-09 Alerts &amp; Follow-Up</vt:lpstr>
      <vt:lpstr>PP-10 BRT Payable Ledger</vt:lpstr>
      <vt:lpstr>PP-11 Property Disposal</vt:lpstr>
      <vt:lpstr>PP-12 Revaluation &amp; Impairment</vt:lpstr>
      <vt:lpstr>PP-13 Property Class Request</vt:lpstr>
      <vt:lpstr>PP-14 Property Asset Register</vt:lpstr>
      <vt:lpstr>PP-15 Correction Request</vt:lpstr>
      <vt:lpstr>PP-16 Approval Matrix</vt:lpstr>
      <vt:lpstr>PP-17 Accounting Entries</vt:lpstr>
      <vt:lpstr>PP-18 Reports Spec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Fayaz Yasini;Crest_Point1</dc:creator>
  <dc:description/>
  <cp:lastModifiedBy>Fayaz Yasini</cp:lastModifiedBy>
  <cp:revision>0</cp:revision>
  <cp:lastPrinted>2026-10-16T12:41:12Z</cp:lastPrinted>
  <dcterms:created xsi:type="dcterms:W3CDTF">2026-10-14T18:10:01Z</dcterms:created>
  <dcterms:modified xsi:type="dcterms:W3CDTF">2026-10-16T12:42:01Z</dcterms:modified>
  <dc:language>en-US</dc:language>
</cp:coreProperties>
</file>