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Fayaz Yasini\Downloads\Forms\"/>
    </mc:Choice>
  </mc:AlternateContent>
  <xr:revisionPtr revIDLastSave="0" documentId="13_ncr:1_{29C9D3A3-EA1E-4C54-B1E0-8BC4A11558B6}" xr6:coauthVersionLast="47" xr6:coauthVersionMax="47" xr10:uidLastSave="{00000000-0000-0000-0000-000000000000}"/>
  <bookViews>
    <workbookView xWindow="-96" yWindow="-96" windowWidth="23232" windowHeight="13872" tabRatio="500" xr2:uid="{00000000-000D-0000-FFFF-FFFF00000000}"/>
  </bookViews>
  <sheets>
    <sheet name="Index" sheetId="1" r:id="rId1"/>
    <sheet name="PY-01 Employee Record" sheetId="2" r:id="rId2"/>
    <sheet name="PY-02 Salary Change Pro-Rata" sheetId="3" r:id="rId3"/>
    <sheet name="PY-03 Leave Request" sheetId="4" r:id="rId4"/>
    <sheet name="PY-04 Leave Balance Summary" sheetId="5" r:id="rId5"/>
    <sheet name="PY-05 Timesheet" sheetId="6" r:id="rId6"/>
    <sheet name="PY-06 Dept Timesheet Finalize" sheetId="7" r:id="rId7"/>
    <sheet name="PY-07 Salary Advance Request" sheetId="8" r:id="rId8"/>
    <sheet name="PY-08 Employee Advance Ledger" sheetId="9" r:id="rId9"/>
    <sheet name="PY-09 Payroll Calculation" sheetId="10" r:id="rId10"/>
    <sheet name="PY-10 Wages-Based Entry" sheetId="11" r:id="rId11"/>
    <sheet name="PY-11 Payroll Summary" sheetId="12" r:id="rId12"/>
    <sheet name="PY-12 IC Payroll Verification" sheetId="13" r:id="rId13"/>
    <sheet name="PY-13 Payslip" sheetId="14" r:id="rId14"/>
    <sheet name="PY-14 Bank Transfer List" sheetId="15" r:id="rId15"/>
    <sheet name="PY-15 Tax Slab Config" sheetId="16" r:id="rId16"/>
    <sheet name="PY-16 Tax Withholding Register" sheetId="17" r:id="rId17"/>
    <sheet name="PY-17 Correction Request" sheetId="18" r:id="rId18"/>
    <sheet name="PY-18 Approval Matrix" sheetId="19" r:id="rId19"/>
    <sheet name="PY-19 Accounting Entries" sheetId="20" r:id="rId20"/>
    <sheet name="PY-20 Reports Spec" sheetId="21" r:id="rId2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7" i="17" l="1"/>
  <c r="B17" i="17"/>
  <c r="H16" i="17"/>
  <c r="G16" i="17"/>
  <c r="C16" i="17"/>
  <c r="H15" i="17"/>
  <c r="G15" i="17"/>
  <c r="C15" i="17"/>
  <c r="H14" i="17"/>
  <c r="G14" i="17"/>
  <c r="C14" i="17"/>
  <c r="H13" i="17"/>
  <c r="G13" i="17"/>
  <c r="C13" i="17"/>
  <c r="H12" i="17"/>
  <c r="G12" i="17"/>
  <c r="C12" i="17"/>
  <c r="G11" i="17"/>
  <c r="H11" i="17" s="1"/>
  <c r="C11" i="17"/>
  <c r="G10" i="17"/>
  <c r="H10" i="17" s="1"/>
  <c r="C10" i="17"/>
  <c r="H9" i="17"/>
  <c r="G9" i="17"/>
  <c r="G17" i="17" s="1"/>
  <c r="C9" i="17"/>
  <c r="C15" i="16"/>
  <c r="G8" i="16"/>
  <c r="G9" i="16" s="1"/>
  <c r="G10" i="16" s="1"/>
  <c r="G11" i="16" s="1"/>
  <c r="C16" i="16" s="1"/>
  <c r="E22" i="14"/>
  <c r="E15" i="14"/>
  <c r="E24" i="14" s="1"/>
  <c r="C20" i="13"/>
  <c r="F9" i="12"/>
  <c r="E9" i="12"/>
  <c r="D9" i="12"/>
  <c r="B9" i="12"/>
  <c r="F8" i="12"/>
  <c r="F11" i="12" s="1"/>
  <c r="E8" i="12"/>
  <c r="E11" i="12" s="1"/>
  <c r="D8" i="12"/>
  <c r="D11" i="12" s="1"/>
  <c r="B8" i="12"/>
  <c r="B11" i="12" s="1"/>
  <c r="E15" i="11"/>
  <c r="E14" i="11"/>
  <c r="O21" i="10"/>
  <c r="N21" i="10"/>
  <c r="M21" i="10"/>
  <c r="K21" i="10"/>
  <c r="J21" i="10"/>
  <c r="H21" i="10"/>
  <c r="G21" i="10"/>
  <c r="T20" i="10"/>
  <c r="S20" i="10"/>
  <c r="R20" i="10"/>
  <c r="L20" i="10"/>
  <c r="J20" i="10"/>
  <c r="T19" i="10"/>
  <c r="S19" i="10"/>
  <c r="R19" i="10"/>
  <c r="L19" i="10"/>
  <c r="J19" i="10"/>
  <c r="T18" i="10"/>
  <c r="S18" i="10"/>
  <c r="R18" i="10"/>
  <c r="L18" i="10"/>
  <c r="J18" i="10"/>
  <c r="T17" i="10"/>
  <c r="S17" i="10"/>
  <c r="R17" i="10"/>
  <c r="L17" i="10"/>
  <c r="J17" i="10"/>
  <c r="T16" i="10"/>
  <c r="S16" i="10"/>
  <c r="R16" i="10"/>
  <c r="L16" i="10"/>
  <c r="J16" i="10"/>
  <c r="T15" i="10"/>
  <c r="S15" i="10"/>
  <c r="R15" i="10"/>
  <c r="L15" i="10"/>
  <c r="J15" i="10"/>
  <c r="T14" i="10"/>
  <c r="S14" i="10"/>
  <c r="R14" i="10"/>
  <c r="L14" i="10"/>
  <c r="J14" i="10"/>
  <c r="T13" i="10"/>
  <c r="S13" i="10"/>
  <c r="R13" i="10"/>
  <c r="L13" i="10"/>
  <c r="J13" i="10"/>
  <c r="T12" i="10"/>
  <c r="J12" i="10"/>
  <c r="L12" i="10" s="1"/>
  <c r="T11" i="10"/>
  <c r="J11" i="10"/>
  <c r="L11" i="10" s="1"/>
  <c r="T10" i="10"/>
  <c r="J10" i="10"/>
  <c r="L10" i="10" s="1"/>
  <c r="T9" i="10"/>
  <c r="J9" i="10"/>
  <c r="L9" i="10" s="1"/>
  <c r="H18" i="9"/>
  <c r="G18" i="9"/>
  <c r="H17" i="9"/>
  <c r="G17" i="9"/>
  <c r="H16" i="9"/>
  <c r="G16" i="9"/>
  <c r="H15" i="9"/>
  <c r="G15" i="9"/>
  <c r="H14" i="9"/>
  <c r="G14" i="9"/>
  <c r="H13" i="9"/>
  <c r="G13" i="9"/>
  <c r="H12" i="9"/>
  <c r="G9" i="9"/>
  <c r="E21" i="8"/>
  <c r="C21" i="8"/>
  <c r="C22" i="8" s="1"/>
  <c r="C11" i="8"/>
  <c r="J19" i="7"/>
  <c r="I19" i="7"/>
  <c r="H19" i="7"/>
  <c r="G19" i="7"/>
  <c r="F19" i="7"/>
  <c r="E19" i="7"/>
  <c r="D19" i="7"/>
  <c r="C54" i="6"/>
  <c r="C53" i="6"/>
  <c r="C52" i="6"/>
  <c r="C51" i="6"/>
  <c r="C50" i="6"/>
  <c r="C49" i="6"/>
  <c r="C48" i="6"/>
  <c r="C47" i="6"/>
  <c r="C46" i="6"/>
  <c r="A14" i="6"/>
  <c r="B13" i="6"/>
  <c r="O18" i="5"/>
  <c r="N18" i="5"/>
  <c r="L18" i="5"/>
  <c r="I18" i="5"/>
  <c r="F18" i="5"/>
  <c r="O17" i="5"/>
  <c r="N17" i="5"/>
  <c r="L17" i="5"/>
  <c r="I17" i="5"/>
  <c r="F17" i="5"/>
  <c r="O16" i="5"/>
  <c r="N16" i="5"/>
  <c r="L16" i="5"/>
  <c r="I16" i="5"/>
  <c r="F16" i="5"/>
  <c r="O15" i="5"/>
  <c r="N15" i="5"/>
  <c r="L15" i="5"/>
  <c r="I15" i="5"/>
  <c r="F15" i="5"/>
  <c r="O14" i="5"/>
  <c r="N14" i="5"/>
  <c r="L14" i="5"/>
  <c r="I14" i="5"/>
  <c r="F14" i="5"/>
  <c r="O13" i="5"/>
  <c r="N13" i="5"/>
  <c r="L13" i="5"/>
  <c r="I13" i="5"/>
  <c r="F13" i="5"/>
  <c r="O12" i="5"/>
  <c r="N12" i="5"/>
  <c r="L12" i="5"/>
  <c r="I12" i="5"/>
  <c r="F12" i="5"/>
  <c r="N11" i="5"/>
  <c r="L11" i="5"/>
  <c r="I11" i="5"/>
  <c r="O11" i="5" s="1"/>
  <c r="F11" i="5"/>
  <c r="N10" i="5"/>
  <c r="L10" i="5"/>
  <c r="I10" i="5"/>
  <c r="F10" i="5"/>
  <c r="O10" i="5" s="1"/>
  <c r="N9" i="5"/>
  <c r="L9" i="5"/>
  <c r="I9" i="5"/>
  <c r="F9" i="5"/>
  <c r="O9" i="5" s="1"/>
  <c r="C27" i="4"/>
  <c r="E14" i="4"/>
  <c r="C13" i="4"/>
  <c r="C14" i="4" s="1"/>
  <c r="C19" i="4" s="1"/>
  <c r="E12" i="3"/>
  <c r="H10" i="12" l="1"/>
  <c r="E16" i="11"/>
  <c r="R12" i="10"/>
  <c r="S12" i="10"/>
  <c r="F11" i="15" s="1"/>
  <c r="R11" i="10"/>
  <c r="C9" i="12"/>
  <c r="R10" i="10"/>
  <c r="S10" i="10" s="1"/>
  <c r="F9" i="15" s="1"/>
  <c r="R9" i="10"/>
  <c r="S9" i="10"/>
  <c r="C8" i="12"/>
  <c r="C11" i="12" s="1"/>
  <c r="L21" i="10"/>
  <c r="H10" i="9"/>
  <c r="G10" i="9"/>
  <c r="A15" i="6"/>
  <c r="B14" i="6"/>
  <c r="C13" i="3"/>
  <c r="E13" i="3" s="1"/>
  <c r="E14" i="3" s="1"/>
  <c r="E15" i="16"/>
  <c r="G8" i="12" l="1"/>
  <c r="G11" i="12" s="1"/>
  <c r="R21" i="10"/>
  <c r="H8" i="12"/>
  <c r="F8" i="15"/>
  <c r="H11" i="9"/>
  <c r="G11" i="9"/>
  <c r="B15" i="6"/>
  <c r="A16" i="6"/>
  <c r="C14" i="3"/>
  <c r="C15" i="3"/>
  <c r="G9" i="12"/>
  <c r="S11" i="10"/>
  <c r="S21" i="10" s="1"/>
  <c r="H12" i="12" s="1"/>
  <c r="H11" i="12" l="1"/>
  <c r="H13" i="12"/>
  <c r="G19" i="9"/>
  <c r="H19" i="9" s="1"/>
  <c r="G12" i="9"/>
  <c r="B16" i="6"/>
  <c r="A17" i="6"/>
  <c r="H9" i="12"/>
  <c r="F10" i="15"/>
  <c r="F18" i="15" s="1"/>
  <c r="B17" i="6" l="1"/>
  <c r="A18" i="6"/>
  <c r="B18" i="6" l="1"/>
  <c r="A19" i="6"/>
  <c r="B19" i="6" l="1"/>
  <c r="A20" i="6"/>
  <c r="B20" i="6" l="1"/>
  <c r="A21" i="6"/>
  <c r="B21" i="6" l="1"/>
  <c r="A22" i="6"/>
  <c r="B22" i="6" l="1"/>
  <c r="A23" i="6"/>
  <c r="B23" i="6" l="1"/>
  <c r="A24" i="6"/>
  <c r="B24" i="6" l="1"/>
  <c r="A25" i="6"/>
  <c r="B25" i="6" l="1"/>
  <c r="A26" i="6"/>
  <c r="B26" i="6" l="1"/>
  <c r="A27" i="6"/>
  <c r="B27" i="6" l="1"/>
  <c r="A28" i="6"/>
  <c r="B28" i="6" l="1"/>
  <c r="A29" i="6"/>
  <c r="B29" i="6" l="1"/>
  <c r="A30" i="6"/>
  <c r="B30" i="6" l="1"/>
  <c r="A31" i="6"/>
  <c r="B31" i="6" l="1"/>
  <c r="A32" i="6"/>
  <c r="B32" i="6" l="1"/>
  <c r="A33" i="6"/>
  <c r="B33" i="6" l="1"/>
  <c r="A34" i="6"/>
  <c r="B34" i="6" l="1"/>
  <c r="A35" i="6"/>
  <c r="B35" i="6" l="1"/>
  <c r="A36" i="6"/>
  <c r="B36" i="6" l="1"/>
  <c r="A37" i="6"/>
  <c r="B37" i="6" l="1"/>
  <c r="A38" i="6"/>
  <c r="B38" i="6" l="1"/>
  <c r="A39" i="6"/>
  <c r="B39" i="6" l="1"/>
  <c r="A40" i="6"/>
  <c r="B40" i="6" l="1"/>
  <c r="A41" i="6"/>
  <c r="B41" i="6" l="1"/>
  <c r="A42" i="6"/>
  <c r="B42" i="6" l="1"/>
  <c r="A43" i="6"/>
  <c r="B43" i="6" s="1"/>
</calcChain>
</file>

<file path=xl/sharedStrings.xml><?xml version="1.0" encoding="utf-8"?>
<sst xmlns="http://schemas.openxmlformats.org/spreadsheetml/2006/main" count="1076" uniqueCount="655">
  <si>
    <t>NORTH COAL STATE OWNED CORPORATION</t>
  </si>
  <si>
    <t>ERP FORMS &amp; STANDARD TEMPLATES - PAYROLL MODULE</t>
  </si>
  <si>
    <t>Developer pack accompanying the approved System Architecture &amp; BPR Report (20 September 2026)  |  Prepared by Crest Point Consulting Group  |  Version 1.0</t>
  </si>
  <si>
    <t>COLOUR LEGEND</t>
  </si>
  <si>
    <t>Yellow</t>
  </si>
  <si>
    <t>Field entered by a user (blue text = example data shown for illustration)</t>
  </si>
  <si>
    <t>Grey</t>
  </si>
  <si>
    <t>Auto-populated / auto-calculated by the system</t>
  </si>
  <si>
    <t>Light grey</t>
  </si>
  <si>
    <t>Not applicable on this form</t>
  </si>
  <si>
    <t>Navy</t>
  </si>
  <si>
    <t>Section / column headers and signature-block titles</t>
  </si>
  <si>
    <t>Form Code</t>
  </si>
  <si>
    <t>Sheet (click to open)</t>
  </si>
  <si>
    <t>Purpose</t>
  </si>
  <si>
    <t>Source in approved report</t>
  </si>
  <si>
    <t>PY-01</t>
  </si>
  <si>
    <t>PY-01 Employee Record</t>
  </si>
  <si>
    <t>Employee database record (mandatory fields, bank details, date-effective history)</t>
  </si>
  <si>
    <t>4.3.2 Employee Database</t>
  </si>
  <si>
    <t>PY-02</t>
  </si>
  <si>
    <t>PY-02 Salary Change Pro-Rata</t>
  </si>
  <si>
    <t>Automatic mid-month salary / position change pro-rata</t>
  </si>
  <si>
    <t>4.3.2 Mid-Month Pro-Rata Adjustments</t>
  </si>
  <si>
    <t>PY-03</t>
  </si>
  <si>
    <t>PY-03 Leave Request</t>
  </si>
  <si>
    <t>Leave record with balance check and exceptional-leave rules</t>
  </si>
  <si>
    <t>4.3.2 Leave Management</t>
  </si>
  <si>
    <t>PY-04</t>
  </si>
  <si>
    <t>PY-04 Leave Balance Summary</t>
  </si>
  <si>
    <t>Monthly leave balance report per Permanent employee</t>
  </si>
  <si>
    <t>4.3.2 Leave Management; 4.3.4 Reports</t>
  </si>
  <si>
    <t>PY-05</t>
  </si>
  <si>
    <t>PY-05 Timesheet</t>
  </si>
  <si>
    <t>Monthly daily-record timesheet with auto summary</t>
  </si>
  <si>
    <t>4.3.2 Timesheet Recording</t>
  </si>
  <si>
    <t>PY-06</t>
  </si>
  <si>
    <t>PY-06 Dept Timesheet Finalize</t>
  </si>
  <si>
    <t>Department Head month-end review and locking</t>
  </si>
  <si>
    <t>4.3.2 Timesheet Finalization by Department Head</t>
  </si>
  <si>
    <t>PY-07</t>
  </si>
  <si>
    <t>PY-07 Salary Advance Request</t>
  </si>
  <si>
    <t>Advance request, approval chain and recorded advance</t>
  </si>
  <si>
    <t>4.3.2 Salary Advance Management</t>
  </si>
  <si>
    <t>PY-08</t>
  </si>
  <si>
    <t>PY-08 Employee Advance Ledger</t>
  </si>
  <si>
    <t>Advance ledger with limit and balance checks</t>
  </si>
  <si>
    <t>4.3.2; 4.3.4 Employee Advance Ledger</t>
  </si>
  <si>
    <t>PY-09</t>
  </si>
  <si>
    <t>PY-09 Payroll Calculation</t>
  </si>
  <si>
    <t>Payroll sheet for Permanent and Temporary staff (replaces Forms M-41 / M-40)</t>
  </si>
  <si>
    <t>4.3.2 Payroll Calculation; Net Pay Calculation</t>
  </si>
  <si>
    <t>PY-10</t>
  </si>
  <si>
    <t>PY-10 Wages-Based Entry</t>
  </si>
  <si>
    <t>Collective cash wages total per Second Unit</t>
  </si>
  <si>
    <t>4.3.2 Wages-Based Workers</t>
  </si>
  <si>
    <t>PY-11</t>
  </si>
  <si>
    <t>PY-11 Payroll Summary</t>
  </si>
  <si>
    <t>Consolidated record sent to IC for the single verification</t>
  </si>
  <si>
    <t>4.3.2 Payroll Sheet Finalization</t>
  </si>
  <si>
    <t>PY-12</t>
  </si>
  <si>
    <t>PY-12 IC Payroll Verification</t>
  </si>
  <si>
    <t>Mandatory consolidated Internal Control verify / reject record</t>
  </si>
  <si>
    <t>4.3.2 Internal Control Verification</t>
  </si>
  <si>
    <t>PY-13</t>
  </si>
  <si>
    <t>PY-13 Payslip</t>
  </si>
  <si>
    <t>Digital PDF payslip layout</t>
  </si>
  <si>
    <t>4.3.2 Digital Employee Payslips</t>
  </si>
  <si>
    <t>PY-14</t>
  </si>
  <si>
    <t>PY-14 Bank Transfer List</t>
  </si>
  <si>
    <t>Supporting salary bank transfer list (derived from As-Is)</t>
  </si>
  <si>
    <t>4.3.1 As-Is bank transfer lists; 4.3.2</t>
  </si>
  <si>
    <t>PY-15</t>
  </si>
  <si>
    <t>PY-15 Tax Slab Config</t>
  </si>
  <si>
    <t>Configurable income tax slabs with test calculator</t>
  </si>
  <si>
    <t>4.3.2 Afghan National Tax Law</t>
  </si>
  <si>
    <t>PY-16</t>
  </si>
  <si>
    <t>PY-16 Tax Withholding Register</t>
  </si>
  <si>
    <t>Tax withheld vs remitted per period</t>
  </si>
  <si>
    <t>4.3.2 Afghan National Tax Law; 4.3.4 Reports</t>
  </si>
  <si>
    <t>PY-17</t>
  </si>
  <si>
    <t>PY-17 Correction Request</t>
  </si>
  <si>
    <t>Standard officer correction request (Payroll)</t>
  </si>
  <si>
    <t>4.3.2 Officer Correction Request Workflow</t>
  </si>
  <si>
    <t>PY-18</t>
  </si>
  <si>
    <t>PY-18 Approval Matrix</t>
  </si>
  <si>
    <t>Who prepares, approves and verifies each form</t>
  </si>
  <si>
    <t>4.3.3 System Roles and Access Permissions</t>
  </si>
  <si>
    <t>PY-19</t>
  </si>
  <si>
    <t>PY-19 Accounting Entries</t>
  </si>
  <si>
    <t>Automatic payroll postings (developer reference)</t>
  </si>
  <si>
    <t>4.3.4 Accounting Entries</t>
  </si>
  <si>
    <t>PY-20</t>
  </si>
  <si>
    <t>PY-20 Reports Spec</t>
  </si>
  <si>
    <t>Required payroll reports, frequency and filters</t>
  </si>
  <si>
    <t>4.3.4 Required Reports</t>
  </si>
  <si>
    <t>DESIGN RULES THAT APPLY TO EVERY FORM</t>
  </si>
  <si>
    <t>1. Single currency: Afghan Afghani (AFN) only.</t>
  </si>
  <si>
    <t>2. Three staff categories: Permanent (leave system, full payroll), Temporary (paid only when present, no leave), Wages-based workers (collective cash total per Second Unit, not recorded as named individuals).</t>
  </si>
  <si>
    <t>3. Executive Director and Directors have NO system access. Their approvals (leave letters, advances, the printed payroll sheet) are physical, filed in hard copy and recorded by staff, so no Director / ED signature block appears on these forms.</t>
  </si>
  <si>
    <t>4. Signature blocks: Prepared by (Payroll Officer), Reviewed / Approved by (Payroll Department Head), Verified by (Internal Control) on the payroll sheet, summary, wages entry and bank list. Internal Control verification is ONE consolidated gate before any accounting entry or payment.</t>
  </si>
  <si>
    <t>5. Officers can never edit or delete a submitted entry; corrections follow PY-17. Every action is written to the Control Log (layout FA-18 in the Finance workbook), which no user can alter.</t>
  </si>
  <si>
    <t>6. Payroll rules (tax slabs, leave entitlements, overtime rates) must be parameters that authorized users can change without code - the Payroll Manager asked for flexibility if regulations change.</t>
  </si>
  <si>
    <t>7. Names, IDs, amounts and rates in these sheets are illustrative examples only. Bank account numbers are masked examples.</t>
  </si>
  <si>
    <t>[Corporation logo]</t>
  </si>
  <si>
    <t>EMPLOYEE DATABASE RECORD</t>
  </si>
  <si>
    <t>Form PY-01  |  Version 1.0  |  Permanent and Temporary employees only (wages-based workers are not recorded individually)</t>
  </si>
  <si>
    <t>A. EMPLOYEE DETAILS (all fields mandatory)</t>
  </si>
  <si>
    <t>Employee ID</t>
  </si>
  <si>
    <t>EMP-000101</t>
  </si>
  <si>
    <t>Status</t>
  </si>
  <si>
    <t>Active</t>
  </si>
  <si>
    <t>Full Name</t>
  </si>
  <si>
    <t>Example Employee A</t>
  </si>
  <si>
    <t>Father's Name</t>
  </si>
  <si>
    <t>Example Father A</t>
  </si>
  <si>
    <t>Position</t>
  </si>
  <si>
    <t>Finance Officer</t>
  </si>
  <si>
    <t>Department</t>
  </si>
  <si>
    <t>Finance</t>
  </si>
  <si>
    <t>Employment Type</t>
  </si>
  <si>
    <t>Permanent</t>
  </si>
  <si>
    <t>Second Unit / HQ Assignment</t>
  </si>
  <si>
    <t>HQ</t>
  </si>
  <si>
    <t>Joining Date</t>
  </si>
  <si>
    <t>Basic Salary (AFN per month)</t>
  </si>
  <si>
    <t>B. BANK ACCOUNT DETAILS (Permanent and Temporary staff only)</t>
  </si>
  <si>
    <t>Bank Name</t>
  </si>
  <si>
    <t>Example Bank</t>
  </si>
  <si>
    <t>Account Number (masked example)</t>
  </si>
  <si>
    <t>XXXX-XXXX-0000</t>
  </si>
  <si>
    <t>C. DATE-EFFECTIVE SALARY AND POSITION HISTORY</t>
  </si>
  <si>
    <t>No.</t>
  </si>
  <si>
    <t>Effective Date</t>
  </si>
  <si>
    <t>Change Type</t>
  </si>
  <si>
    <t>Basic Salary (AFN)</t>
  </si>
  <si>
    <t>Recorded By</t>
  </si>
  <si>
    <t>Finance Assistant</t>
  </si>
  <si>
    <t>Initial</t>
  </si>
  <si>
    <t>USER-01</t>
  </si>
  <si>
    <t>Position and salary change</t>
  </si>
  <si>
    <t>PREPARED BY
(Record maintainer)</t>
  </si>
  <si>
    <t>REVIEWED BY
(Payroll Department Head)</t>
  </si>
  <si>
    <t>Name:</t>
  </si>
  <si>
    <t>Position:</t>
  </si>
  <si>
    <t>Signature:</t>
  </si>
  <si>
    <t>Date:</t>
  </si>
  <si>
    <t>NOTES FOR DEVELOPERS</t>
  </si>
  <si>
    <t>1. Mandatory fields per the approved design: full name, father's name, position, department, employment type, Second Unit/HQ, joining date, basic salary, bank account details (Permanent and Temporary only), active/inactive status.</t>
  </si>
  <si>
    <t>2. Salary and position changes are DATE-EFFECTIVE so payroll can pro-rate mid-month changes automatically (see PY-02).</t>
  </si>
  <si>
    <t>3. Wages-based workers are not recorded here; their pay is entered as a collective cash total per Second Unit (PY-10).</t>
  </si>
  <si>
    <t>4. The approved report does not name which role maintains the Employee Database (HR or Payroll) or who approves new records - confirm before development. Employee ID is a system reference added for uniqueness.</t>
  </si>
  <si>
    <t>MID-MONTH SALARY / POSITION CHANGE - PRO-RATA CALCULATION</t>
  </si>
  <si>
    <t>Form PY-02  |  Version 1.0  |  Calculated automatically during monthly payroll</t>
  </si>
  <si>
    <t>A. CHANGE DETAILS (from Employee Database)</t>
  </si>
  <si>
    <t>Employee Name</t>
  </si>
  <si>
    <t>Basic salary</t>
  </si>
  <si>
    <t>Effective Date of Change</t>
  </si>
  <si>
    <t>Old Position</t>
  </si>
  <si>
    <t>New Position</t>
  </si>
  <si>
    <t>Senior Finance Officer</t>
  </si>
  <si>
    <t>Old Basic Salary (AFN)</t>
  </si>
  <si>
    <t>New Basic Salary (AFN)</t>
  </si>
  <si>
    <t>B. AUTOMATIC PRO-RATA</t>
  </si>
  <si>
    <t>Payroll Month (first day)</t>
  </si>
  <si>
    <t>Days in Month</t>
  </si>
  <si>
    <t>Days at Old Salary</t>
  </si>
  <si>
    <t>Days at New Salary</t>
  </si>
  <si>
    <t>Old-Salary Portion (AFN)</t>
  </si>
  <si>
    <t>New-Salary Portion (AFN)</t>
  </si>
  <si>
    <t>Gross Basic Salary for the Month (AFN)</t>
  </si>
  <si>
    <t>PREPARED BY
(Payroll Officer)</t>
  </si>
  <si>
    <t>1. Rule from the approved report: in a 30-day month a change effective on the 21st gives 20 days at the old basic salary and 10 days at the new one, merged into one correct Gross Basic Salary. The example above reproduces exactly that.</t>
  </si>
  <si>
    <t>2. The result feeds the "Basic Salary" column of the payroll calculation sheet (PY-09) - the Payroll Officer does not key it manually.</t>
  </si>
  <si>
    <t>3. Pro-rata is by calendar days of the month, as in the report example. Position changes follow the same date-effective logic so history stays traceable.</t>
  </si>
  <si>
    <t>LEAVE RECORD (PERMANENT EMPLOYEES ONLY)</t>
  </si>
  <si>
    <t>Form PY-03  |  Version 1.0  |  Recorded in the system by the Department Head from the physically approved letter</t>
  </si>
  <si>
    <t>A. LEAVE DETAILS</t>
  </si>
  <si>
    <t>Leave Record No.</t>
  </si>
  <si>
    <t>LV-2026-000187</t>
  </si>
  <si>
    <t>Date Recorded</t>
  </si>
  <si>
    <t>Leave Type</t>
  </si>
  <si>
    <t>Annual Leave</t>
  </si>
  <si>
    <t>Director Physical Approval Ref.
(hard file)</t>
  </si>
  <si>
    <t>DIR-LV-2026-0310</t>
  </si>
  <si>
    <t>Start Date</t>
  </si>
  <si>
    <t>End Date</t>
  </si>
  <si>
    <t>Number of Days
(per approved letter)</t>
  </si>
  <si>
    <t>Department Head</t>
  </si>
  <si>
    <t>B. AUTOMATIC BALANCE CHECK</t>
  </si>
  <si>
    <t>Annual Entitlement (this leave type)</t>
  </si>
  <si>
    <t>Days Already Taken This Year</t>
  </si>
  <si>
    <t>Available Balance (days)</t>
  </si>
  <si>
    <t>Days Requested</t>
  </si>
  <si>
    <t>C. EXCEPTIONAL LEAVE ONLY (beyond the 50-day standard entitlement)</t>
  </si>
  <si>
    <t>Written Justification
(mandatory)</t>
  </si>
  <si>
    <t>Specific Director Physical Approval Ref.
(mandatory)</t>
  </si>
  <si>
    <t>Confirmation Recorded On</t>
  </si>
  <si>
    <t>D. SYSTEM DECISION</t>
  </si>
  <si>
    <t>Result</t>
  </si>
  <si>
    <t>LEAVE ENTITLEMENT PARAMETERS (configurable)</t>
  </si>
  <si>
    <t>Annual Entitlement (days)</t>
  </si>
  <si>
    <t>Days</t>
  </si>
  <si>
    <t>Urgency Leave</t>
  </si>
  <si>
    <t>Sick Leave</t>
  </si>
  <si>
    <t>Other / Exceptional Leave</t>
  </si>
  <si>
    <t>As approved</t>
  </si>
  <si>
    <t>Total Standard</t>
  </si>
  <si>
    <t>days per Permanent employee per year</t>
  </si>
  <si>
    <t>REQUESTED BY
(Employee)</t>
  </si>
  <si>
    <t>RECORDED BY
(Department Head)</t>
  </si>
  <si>
    <t>1. Process: employee submits a hard-copy letter -&gt; relevant Director approves physically -&gt; Department Head records name, leave type, start date, end date and days in the ERP. The balance is checked and updated in real time.</t>
  </si>
  <si>
    <t>2. Exceptional leave: the system forces a written justification AND a specific Director-level physical approval confirmation before bypassing the balance limit. The finalized record flows into the employee's timesheet automatically.</t>
  </si>
  <si>
    <t>3. Temporary employees and wages-based workers have no leave entitlement (paid when present, unpaid when absent).</t>
  </si>
  <si>
    <t>4. The Executive Director and Directors have no system access. Their approvals (leave letters, advances, the printed payroll sheet) are physical, filed in hard copy and recorded in the ERP by staff, so no Director signature block appears on these forms.</t>
  </si>
  <si>
    <t>MONTHLY LEAVE BALANCE SUMMARY - PERMANENT EMPLOYEES</t>
  </si>
  <si>
    <t>Report layout feeding the monthly timesheet used for payroll</t>
  </si>
  <si>
    <t>Month</t>
  </si>
  <si>
    <t>October 2026</t>
  </si>
  <si>
    <t>Generated On / By</t>
  </si>
  <si>
    <t>14-Oct-2026 10:15 / PAY-HEAD-01</t>
  </si>
  <si>
    <t>Annual Leave (entitlement 20)</t>
  </si>
  <si>
    <t>Urgency Leave (entitlement 10)</t>
  </si>
  <si>
    <t>Sick Leave (entitlement 20)</t>
  </si>
  <si>
    <t>Totals</t>
  </si>
  <si>
    <t>Opening</t>
  </si>
  <si>
    <t>Taken</t>
  </si>
  <si>
    <t>Closing</t>
  </si>
  <si>
    <t>Other / Exceptional Taken</t>
  </si>
  <si>
    <t>Total Days Taken</t>
  </si>
  <si>
    <t>Total Standard Closing Balance</t>
  </si>
  <si>
    <t>EMP-000118</t>
  </si>
  <si>
    <t>Example Employee E</t>
  </si>
  <si>
    <t>Administration</t>
  </si>
  <si>
    <t>EMP-000124</t>
  </si>
  <si>
    <t>Example Employee F</t>
  </si>
  <si>
    <t>HQ Operations</t>
  </si>
  <si>
    <t>1. Opening balance resets at the start of each year (20 annual + 10 urgency + 20 sick = 50 standard days). Closing = Opening - Taken for each type; exceptional leave is shown separately because it bypasses the standard limit.</t>
  </si>
  <si>
    <t>2. Example values are illustrative. Standard report header/footer (corporation name, logo, title, date range, timestamp, user) applies; export to PDF and Excel.</t>
  </si>
  <si>
    <t>MONTHLY TIMESHEET</t>
  </si>
  <si>
    <t>Form PY-05  |  Version 1.0  |  One per employee per month (Permanent, Temporary and wages-based staff)</t>
  </si>
  <si>
    <t>A. EMPLOYEE AND PERIOD</t>
  </si>
  <si>
    <t>Second Unit / HQ</t>
  </si>
  <si>
    <t>Entered By</t>
  </si>
  <si>
    <t>Self (individual access)</t>
  </si>
  <si>
    <t>Timesheet Status</t>
  </si>
  <si>
    <t>Draft</t>
  </si>
  <si>
    <t>B. DAILY RECORD</t>
  </si>
  <si>
    <t>Date</t>
  </si>
  <si>
    <t>Day</t>
  </si>
  <si>
    <t>Regular Hours</t>
  </si>
  <si>
    <t>Overtime Hours</t>
  </si>
  <si>
    <t>Notes (optional)</t>
  </si>
  <si>
    <t>Present</t>
  </si>
  <si>
    <t>Leave LV-2026-000187 (example)</t>
  </si>
  <si>
    <t>Field Work</t>
  </si>
  <si>
    <t>Site visit</t>
  </si>
  <si>
    <t>Official Travel</t>
  </si>
  <si>
    <t>Travel to Second Unit A</t>
  </si>
  <si>
    <t>Medical leave</t>
  </si>
  <si>
    <t>Month-end closing</t>
  </si>
  <si>
    <t>Absent</t>
  </si>
  <si>
    <t>Unexcused</t>
  </si>
  <si>
    <t>MONTH SUMMARY (auto)</t>
  </si>
  <si>
    <t>Total Regular Hours</t>
  </si>
  <si>
    <t>Total Overtime Hours</t>
  </si>
  <si>
    <t>ENTERED BY
(Employee / Designated Person)</t>
  </si>
  <si>
    <t>FINALIZED BY
(Department Head)</t>
  </si>
  <si>
    <t>1. Status options (approved): Present / Absent / Annual Leave / Urgency Leave / Sick Leave / Field Work / Official Travel. Field Work and Official Travel count as working days and preserve overtime eligibility.</t>
  </si>
  <si>
    <t>2. Who fills it: HQ employees with access fill their own (daily or any time before month end); a designated department officer fills for HQ support staff without access; ONE designated person per Second Unit fills for all unit staff, including wages-based workers.</t>
  </si>
  <si>
    <t>3. Approved leave from PY-03 is reflected automatically. At month end the Department Head reviews and submits; the timesheet is then locked and routed to Payroll.</t>
  </si>
  <si>
    <t>4. Rows left blank (Fridays in this example) have no status because the approved list has no weekly-holiday / public-holiday option - confirm how non-working days are recorded before development.</t>
  </si>
  <si>
    <t>DEPARTMENT TIMESHEET REVIEW AND FINALIZATION</t>
  </si>
  <si>
    <t>Form PY-06  |  Version 1.0  |  Month-end submission by the Department Head - locks the timesheets</t>
  </si>
  <si>
    <t>Submission Status</t>
  </si>
  <si>
    <t>Submitted - locked and routed to Payroll</t>
  </si>
  <si>
    <t>Days Present</t>
  </si>
  <si>
    <t>Field Work Days</t>
  </si>
  <si>
    <t>Official Travel Days</t>
  </si>
  <si>
    <t>Absent Days</t>
  </si>
  <si>
    <t>Leave Days (all types)</t>
  </si>
  <si>
    <t>Department Head Remarks</t>
  </si>
  <si>
    <t>EMP-000131</t>
  </si>
  <si>
    <t>Example Employee G</t>
  </si>
  <si>
    <t>Temporary</t>
  </si>
  <si>
    <t>TOTAL</t>
  </si>
  <si>
    <t>PREPARED BY
(Designated Timesheet Officer)</t>
  </si>
  <si>
    <t>1. The Department Head reviews leave taken, absences, field work days, official travel days and overtime hours for the whole department before submitting.</t>
  </si>
  <si>
    <t>2. Once submitted the timesheet record is locked and routed automatically to the Payroll module. Corrections after locking follow the Correction Request workflow (PY-17).</t>
  </si>
  <si>
    <t>SALARY ADVANCE REQUEST</t>
  </si>
  <si>
    <t>Form PY-07  |  Version 1.0  |  Submitted by the Department Head; paid through a Finance Payment Voucher</t>
  </si>
  <si>
    <t>A. REQUEST (submitted by Department Head)</t>
  </si>
  <si>
    <t>Advance Request No.</t>
  </si>
  <si>
    <t>SA-2026-000019</t>
  </si>
  <si>
    <t>Date Submitted</t>
  </si>
  <si>
    <t>Amount Requested (AFN)</t>
  </si>
  <si>
    <t>Proposed Monthly Deduction Limit (AFN)</t>
  </si>
  <si>
    <t>Reason</t>
  </si>
  <si>
    <t>Family emergency expenses. EXAMPLE DATA.</t>
  </si>
  <si>
    <t>Months to Recover (auto)</t>
  </si>
  <si>
    <t>Request Status</t>
  </si>
  <si>
    <t>Authorized - paid</t>
  </si>
  <si>
    <t>B. APPROVAL CHAIN</t>
  </si>
  <si>
    <t>Department Head Confirmation (system)</t>
  </si>
  <si>
    <t>Confirmed</t>
  </si>
  <si>
    <t>DIR-ADV-2026-0072</t>
  </si>
  <si>
    <t>Director Approval Date (physical)</t>
  </si>
  <si>
    <t>Confirmation Recorded in ERP By</t>
  </si>
  <si>
    <t>Payroll / department staff</t>
  </si>
  <si>
    <t>Recorded On</t>
  </si>
  <si>
    <t>Finance Dept Head Authorization</t>
  </si>
  <si>
    <t>Approved</t>
  </si>
  <si>
    <t>Authorization Date</t>
  </si>
  <si>
    <t>Finance Payment Voucher Ref.</t>
  </si>
  <si>
    <t>PV-000118</t>
  </si>
  <si>
    <t>Payment Date</t>
  </si>
  <si>
    <t>C. ADVANCE RECORDED AGAINST EMPLOYEE (auto)</t>
  </si>
  <si>
    <t>Total Advance Amount (AFN)</t>
  </si>
  <si>
    <t>Approved Max Monthly Deduction (AFN)</t>
  </si>
  <si>
    <t>Outstanding Balance (AFN)</t>
  </si>
  <si>
    <t>Recovery Notification</t>
  </si>
  <si>
    <t>Shown to Payroll Officer every payroll until fully recovered</t>
  </si>
  <si>
    <t>SUBMITTED BY
(Department Head)</t>
  </si>
  <si>
    <t>AUTHORIZED BY
(Finance Department Head)</t>
  </si>
  <si>
    <t>1. Sequence: Department Head submits (employee, amount, reason, proposed monthly deduction limit) -&gt; Department Head confirms in system -&gt; Director physical approval recorded by staff -&gt; Finance Department Head authorizes -&gt; payment via Finance PV (see FA-01).</t>
  </si>
  <si>
    <t>2. After payment the advance is recorded on the employee record with total amount and approved monthly limit; the balance stays visible until fully recovered (ledger: PY-08).</t>
  </si>
  <si>
    <t>3. The Executive Director and Directors have no system access. Their approvals (leave letters, advances, the printed payroll sheet) are physical, filed in hard copy and recorded in the ERP by staff, so no Director signature block appears on these forms.</t>
  </si>
  <si>
    <t>EMPLOYEE ADVANCE LEDGER</t>
  </si>
  <si>
    <t>Report layout - outstanding balance visible at all times until fully recovered</t>
  </si>
  <si>
    <t>Employee</t>
  </si>
  <si>
    <t>Example Employee A (EMP-000101)</t>
  </si>
  <si>
    <t>Advance Ref.</t>
  </si>
  <si>
    <t>Total Advance (AFN)</t>
  </si>
  <si>
    <t>Reference</t>
  </si>
  <si>
    <t>Description</t>
  </si>
  <si>
    <t>Advance Paid (AFN)</t>
  </si>
  <si>
    <t>Deduction Applied (AFN)</t>
  </si>
  <si>
    <t>Limit Check (auto)</t>
  </si>
  <si>
    <t>Advance paid via Payment Voucher</t>
  </si>
  <si>
    <t>PAY-2026-10</t>
  </si>
  <si>
    <t>Payroll deduction - October 2026</t>
  </si>
  <si>
    <t>PAY-2026-11</t>
  </si>
  <si>
    <t>Payroll deduction - November 2026</t>
  </si>
  <si>
    <t>PAY-2026-12</t>
  </si>
  <si>
    <t>Payroll deduction - December 2026</t>
  </si>
  <si>
    <t>Current outstanding balance (AFN)</t>
  </si>
  <si>
    <t>1. The Payroll Officer is notified of the outstanding balance and the approved monthly limit at payroll preparation, then keys the month's deduction within the limit; the system reduces the balance automatically.</t>
  </si>
  <si>
    <t>2. The December line (12,000) deliberately exceeds the 10,000 limit to show the validation message. Accounting: Dr Salaries Payable / Cr Employee Advance (PY-19).</t>
  </si>
  <si>
    <t>PAYROLL CALCULATION SHEET - PERMANENT AND TEMPORARY STAFF</t>
  </si>
  <si>
    <t>Form PY-09  |  Version 1.0  |  Replaces manual Forms M-41 / M-40  |  Amounts in AFN</t>
  </si>
  <si>
    <t>Payroll Period Ref.</t>
  </si>
  <si>
    <t>PAY-2026-10-HQ</t>
  </si>
  <si>
    <t>Payroll Month</t>
  </si>
  <si>
    <t>Scope</t>
  </si>
  <si>
    <t>HQ - Permanent and Temporary staff</t>
  </si>
  <si>
    <t>Sheet Status</t>
  </si>
  <si>
    <t>Pending IC verification</t>
  </si>
  <si>
    <t>Type</t>
  </si>
  <si>
    <t>Basic Salary
(after pro-rata)</t>
  </si>
  <si>
    <t>OT Hours
(timesheet)</t>
  </si>
  <si>
    <t>OT Rate
(AFN/hr)</t>
  </si>
  <si>
    <t>Overtime Pay</t>
  </si>
  <si>
    <t>Other Allowances</t>
  </si>
  <si>
    <t>Gross Taxable Income</t>
  </si>
  <si>
    <t>Rent Deduction</t>
  </si>
  <si>
    <t>Electricity Deduction</t>
  </si>
  <si>
    <t>Advance Deduction</t>
  </si>
  <si>
    <t>Advance Outstanding (system)</t>
  </si>
  <si>
    <t>Approved Monthly Limit (system)</t>
  </si>
  <si>
    <t>Income Tax (auto)</t>
  </si>
  <si>
    <t>Net Pay</t>
  </si>
  <si>
    <t>Advance Check (auto)</t>
  </si>
  <si>
    <t>EMP-000102</t>
  </si>
  <si>
    <t>Example Employee B</t>
  </si>
  <si>
    <t>Example Father B</t>
  </si>
  <si>
    <t>Second Unit A</t>
  </si>
  <si>
    <t>EMP-000103</t>
  </si>
  <si>
    <t>Example Employee C</t>
  </si>
  <si>
    <t>Example Father C</t>
  </si>
  <si>
    <t>EMP-000104</t>
  </si>
  <si>
    <t>Example Employee D</t>
  </si>
  <si>
    <t>Example Father D</t>
  </si>
  <si>
    <t>Second Unit B</t>
  </si>
  <si>
    <t>REVIEWED / APPROVED BY
(Payroll Department Head)</t>
  </si>
  <si>
    <t>VERIFIED BY
(Internal Control &amp; Audit)</t>
  </si>
  <si>
    <t>1. Net Pay = Basic Salary + Overtime Pay + Other Allowances - Rent - Electricity - Advance Deduction - Income Tax (approved formula). Everything in grey is system-calculated; the Payroll Officer keys only allowances, rent, electricity and the advance deduction.</t>
  </si>
  <si>
    <t>2. Income Tax is auto-calculated from the configurable slab table (PY-15). Gross Taxable Income here = Basic + Overtime + Other Allowances; rent and electricity are treated as salary deductions, not taxable compensation (per the approved report). Confirm which allowance types are taxable per ARD rules.</t>
  </si>
  <si>
    <t>3. Overtime Pay = overtime hours from the finalized timesheet x applicable overtime rate. The report does not say where the rate comes from (per employee, per grade or a single rate) - confirm and make it a configurable parameter.</t>
  </si>
  <si>
    <t>4. Advance Outstanding and Approved Monthly Limit are pushed by the system from the advance ledger (PY-08); the Officer's deduction must stay within both. Wages-based workers are NOT on this sheet (see PY-10).</t>
  </si>
  <si>
    <t>5. The Executive Director and Directors have no system access. Their approvals (leave letters, advances, the printed payroll sheet) are physical, filed in hard copy and recorded in the ERP by staff, so no Director signature block appears on these forms. The printed IC-verified sheet is signed physically by the Director outside the ERP.</t>
  </si>
  <si>
    <t>WAGES-BASED WORKERS - COLLECTIVE CASH WAGES ENTRY</t>
  </si>
  <si>
    <t>Form PY-10  |  Version 1.0  |  One total per Second Unit per period - workers are not recorded as named individuals</t>
  </si>
  <si>
    <t>PAY-2026-10-WG</t>
  </si>
  <si>
    <t>Second Unit</t>
  </si>
  <si>
    <t>Period</t>
  </si>
  <si>
    <t>Entered By (designated Second Unit person)</t>
  </si>
  <si>
    <t>Total Cash Wages (AFN)</t>
  </si>
  <si>
    <t>Payroll Officer Confirmed?</t>
  </si>
  <si>
    <t>SU-A-DESIG-01</t>
  </si>
  <si>
    <t>Yes</t>
  </si>
  <si>
    <t>SU-B-DESIG-01</t>
  </si>
  <si>
    <t>Second Unit C</t>
  </si>
  <si>
    <t>SU-C-DESIG-01</t>
  </si>
  <si>
    <t>No</t>
  </si>
  <si>
    <t>TOTAL CASH WAGES (AFN)</t>
  </si>
  <si>
    <t>Confirmed by Payroll Officer (AFN)</t>
  </si>
  <si>
    <t>Awaiting confirmation (AFN)</t>
  </si>
  <si>
    <t>Automatic Accounting</t>
  </si>
  <si>
    <t>Dr Wages Expense Account / Cr Cash Account (cash payment)</t>
  </si>
  <si>
    <t>ENTERED BY
(Designated Second Unit Person)</t>
  </si>
  <si>
    <t>CONFIRMED BY
(Payroll Officer)</t>
  </si>
  <si>
    <t>1. Workers' wages are recorded as a collective cash expense per Second Unit per period by the designated Second Unit person; the Payroll Officer reviews and confirms each unit total before it enters the consolidated payroll record.</t>
  </si>
  <si>
    <t>2. Internal Control verifies the totals per Second Unit as part of the single consolidated payroll verification (PY-12).</t>
  </si>
  <si>
    <t>3. Name, position and date may be pre-filled by the system from the Control Log; signatures are by hand so the printed form can be archived in the hard file.</t>
  </si>
  <si>
    <t>CONSOLIDATED PAYROLL SUMMARY - ALL STAFF CATEGORIES</t>
  </si>
  <si>
    <t>Single record routed to Internal Control for ONE consolidated verification (AFN)</t>
  </si>
  <si>
    <t>Approved by Dept Head - routed to IC</t>
  </si>
  <si>
    <t>Staff Category</t>
  </si>
  <si>
    <t>Headcount</t>
  </si>
  <si>
    <t>Advance Deductions</t>
  </si>
  <si>
    <t>Income Tax Withheld</t>
  </si>
  <si>
    <t>Net Pay / Cash Wages</t>
  </si>
  <si>
    <t>Permanent employees</t>
  </si>
  <si>
    <t>Temporary employees</t>
  </si>
  <si>
    <t>Wages-based workers (collective per Second Unit)</t>
  </si>
  <si>
    <t>n/a</t>
  </si>
  <si>
    <t>Cross-check: Net Pay per payroll sheet total (PY-09)</t>
  </si>
  <si>
    <t>Check: Permanent + Temporary net pay agrees to sheet</t>
  </si>
  <si>
    <t>1. One consolidated verification covers all three categories simultaneously before ANY accounting entry is posted or ANY payment is processed.</t>
  </si>
  <si>
    <t>2. Cross-sheet formulas read from PY-09 and PY-10; example figures are illustrative.</t>
  </si>
  <si>
    <t>INTERNAL CONTROL VERIFICATION RECORD - CONSOLIDATED PAYROLL</t>
  </si>
  <si>
    <t>Form PY-12  |  Version 1.0  |  Mandatory single gate at the end of payroll preparation</t>
  </si>
  <si>
    <t>Verification No.</t>
  </si>
  <si>
    <t>ICV-2026-000427</t>
  </si>
  <si>
    <t>Date Received by IC</t>
  </si>
  <si>
    <t>Categories Covered</t>
  </si>
  <si>
    <t>Permanent, Temporary, Wages-based</t>
  </si>
  <si>
    <t>Re-verification Round</t>
  </si>
  <si>
    <t>1</t>
  </si>
  <si>
    <t>VERIFICATION CHECKLIST</t>
  </si>
  <si>
    <t>Check</t>
  </si>
  <si>
    <t>Document Ref. / Comment</t>
  </si>
  <si>
    <t>Timesheet data is consistent with other available records</t>
  </si>
  <si>
    <t>Leave days recorded are within approved balances</t>
  </si>
  <si>
    <t>Field work and official travel entries are properly recorded</t>
  </si>
  <si>
    <t>Overtime hours and calculations reviewed</t>
  </si>
  <si>
    <t>Rent and electricity deductions accurately recorded and deducted from net pay</t>
  </si>
  <si>
    <t>Advance deductions are within approved limits and outstanding balances updated correctly</t>
  </si>
  <si>
    <t>Income tax computation is accurate per applicable Afghan tax law</t>
  </si>
  <si>
    <t>Wages-based worker totals verified per Second Unit</t>
  </si>
  <si>
    <t>Outcome (system rule)</t>
  </si>
  <si>
    <t>Final Outcome (IC decision)</t>
  </si>
  <si>
    <t>Verified</t>
  </si>
  <si>
    <t>Decision Date</t>
  </si>
  <si>
    <t>IC Comments
(mandatory if Rejected)</t>
  </si>
  <si>
    <t>If Rejected</t>
  </si>
  <si>
    <t>Notification with IC comments to Payroll Dept Head -&gt; Head unlocks -&gt; Payroll Officer notified, corrects, resubmits -&gt; Head re-approves -&gt; back to IC for re-verification.</t>
  </si>
  <si>
    <t>If Verified</t>
  </si>
  <si>
    <t>System posts all accounting entries automatically (PY-19) -&gt; payroll sheet available for printing -&gt; printed copy to Director for physical signature (outside ERP) -&gt; confirmation recorded by Payroll staff -&gt; bank transfers processed -&gt; payslips generated.</t>
  </si>
  <si>
    <t>1. IC has read-only access to all payroll and timesheet records; it can only Verify or Reject (comments mandatory on rejection). Every verification and rejection is written to the Control Log (FA-18).</t>
  </si>
  <si>
    <t>2. The Executive Director and Directors have no system access. Their approvals (leave letters, advances, the printed payroll sheet) are physical, filed in hard copy and recorded in the ERP by staff, so no Director signature block appears on these forms.</t>
  </si>
  <si>
    <t>EMPLOYEE PAYSLIP</t>
  </si>
  <si>
    <t>Digital PDF payslip  |  Version 1.0  |  Downloadable by the Payroll Department Head or Payroll Officer on demand</t>
  </si>
  <si>
    <t>EMPLOYEE AND PERIOD</t>
  </si>
  <si>
    <t>Payroll Month and Year</t>
  </si>
  <si>
    <t>EARNINGS</t>
  </si>
  <si>
    <t>Amount (AFN)</t>
  </si>
  <si>
    <t>Basic Salary</t>
  </si>
  <si>
    <t>GROSS TAXABLE INCOME</t>
  </si>
  <si>
    <t>DEDUCTIONS</t>
  </si>
  <si>
    <t>Home Rent Deduction</t>
  </si>
  <si>
    <t>Income Tax</t>
  </si>
  <si>
    <t>TOTAL DEDUCTIONS</t>
  </si>
  <si>
    <t>NET PAY</t>
  </si>
  <si>
    <t>1. Payslip content is exactly as approved: name, father's name, position, department, month and year, basic salary, overtime and allowances, gross taxable income, rent / electricity / advance / income tax deductions, net pay, corporation name and logo, payroll period reference.</t>
  </si>
  <si>
    <t>2. Generated for each Permanent and Temporary employee after payroll completes; PDF only. Example figures match employee 1 on PY-09. No signature block - it is a system-generated digital document.</t>
  </si>
  <si>
    <t>SALARY BANK TRANSFER LIST</t>
  </si>
  <si>
    <t>Supporting template derived from the current bank transfer lists - generated from the IC-verified payroll</t>
  </si>
  <si>
    <t>Paying Bank Account</t>
  </si>
  <si>
    <t>Example Bank - Expense Account</t>
  </si>
  <si>
    <t>Net Pay (AFN)</t>
  </si>
  <si>
    <t>XXXX-0001</t>
  </si>
  <si>
    <t>XXXX-0002</t>
  </si>
  <si>
    <t>XXXX-0003</t>
  </si>
  <si>
    <t>XXXX-0004</t>
  </si>
  <si>
    <t>TOTAL TO BE TRANSFERRED (AFN)</t>
  </si>
  <si>
    <t>1. Supporting template: the approved report says payments are processed by bank transfer after IC verification and Director sign-off but does not define the bank list layout; this follows the manual list used today (employee, account, net pay).</t>
  </si>
  <si>
    <t>2. When the bank confirms processing the system posts Dr Salaries Payable / Cr Bank Account (PY-19). Bank account numbers shown are masked examples only.</t>
  </si>
  <si>
    <t>INCOME TAX SLAB CONFIGURATION (MONTHLY WAGE WITHHOLDING)</t>
  </si>
  <si>
    <t>Parameter table - must be editable without code changes so payroll survives future tax-rule changes</t>
  </si>
  <si>
    <t>Illustrative rates from a secondary source (Rivermate Afghanistan guide, valid 16 February 2026). VERIFY against current Afghanistan Revenue Department (ARD) rules before go-live. Slabs are marginal on monthly gross.</t>
  </si>
  <si>
    <t>From (AFN / month)</t>
  </si>
  <si>
    <t>To (AFN / month)</t>
  </si>
  <si>
    <t>Rate on Excess</t>
  </si>
  <si>
    <t>Effective From</t>
  </si>
  <si>
    <t>Effective To</t>
  </si>
  <si>
    <t>Cumulative Tax at Lower Bound (check)</t>
  </si>
  <si>
    <t>TEST CALCULATOR</t>
  </si>
  <si>
    <t>Monthly gross taxable income (AFN)</t>
  </si>
  <si>
    <t>Tax withheld (AFN)</t>
  </si>
  <si>
    <t>Expected (ARD table: 8,900 + 20% x excess over 100,000)</t>
  </si>
  <si>
    <t>1. Tax is "auto-calculated per applicable Afghan tax law and current ARD slab rates" and the Payroll Manager asked for flexibility if rules change: slabs, effective dates and status must be maintained as data, never hard-coded.</t>
  </si>
  <si>
    <t>2. The same secondary source states taxable income includes overtime and ALL cash allowances irrespective of purpose, and that per diems for work travel are subject to withholding from 16 February 2026 - relevant to the "Other Allowances" and "Official Travel" handling. Confirm with ARD.</t>
  </si>
  <si>
    <t>3. The same source lists a separate social contribution; the approved report has no such deduction. Confirm whether it applies to North Coal. Who may edit this table is not specified in the report - confirm.</t>
  </si>
  <si>
    <t>TAX WITHHOLDING AND REMITTANCE REGISTER</t>
  </si>
  <si>
    <t>Running record of tax withheld and remitted to ARD for each period</t>
  </si>
  <si>
    <t>Remittance Deadline (days after month end)</t>
  </si>
  <si>
    <t>Report As-of Date</t>
  </si>
  <si>
    <t>Deadline taken from a secondary source (Rivermate, 16 Feb 2026: within 10 days after the month in which wages were paid). Verify with ARD - it is a parameter, not a constant.</t>
  </si>
  <si>
    <t>Tax Withheld (AFN)</t>
  </si>
  <si>
    <t>Remittance Due Date</t>
  </si>
  <si>
    <t>Amount Remitted (AFN)</t>
  </si>
  <si>
    <t>Remittance Date</t>
  </si>
  <si>
    <t>Payment Reference</t>
  </si>
  <si>
    <t>Outstanding (AFN)</t>
  </si>
  <si>
    <t>Status (auto)</t>
  </si>
  <si>
    <t>PV-000096</t>
  </si>
  <si>
    <t>PV-000121</t>
  </si>
  <si>
    <t>1. "Tax Withholding Report" (consolidated, for tax authority submission) is built from this register. Tax Payable to Government is credited at payroll posting; remittance is made through a Finance Payment Voucher.</t>
  </si>
  <si>
    <t>2. The As-of Date is an input (not TODAY()) so the printed report is reproducible. Example amounts are illustrative.</t>
  </si>
  <si>
    <t>OFFICER CORRECTION REQUEST - PAYROLL</t>
  </si>
  <si>
    <t>Form PY-17  |  Version 1.0  |  Same standard form as FA-11, module set to Payroll</t>
  </si>
  <si>
    <t>A. REQUEST (raised by Payroll Officer)</t>
  </si>
  <si>
    <t>Request No.</t>
  </si>
  <si>
    <t>CR-2026-000058</t>
  </si>
  <si>
    <t>Date Raised</t>
  </si>
  <si>
    <t>Module</t>
  </si>
  <si>
    <t>Payroll</t>
  </si>
  <si>
    <t>Entry Type</t>
  </si>
  <si>
    <t>Payroll Calculation Sheet</t>
  </si>
  <si>
    <t>Entry Reference</t>
  </si>
  <si>
    <t>PAY-2026-10-HQ / EMP-000101</t>
  </si>
  <si>
    <t>Raised By (Officer)</t>
  </si>
  <si>
    <t>PAY-OFF-01</t>
  </si>
  <si>
    <t>Entry Status at Request</t>
  </si>
  <si>
    <t>Submitted - before IC verification</t>
  </si>
  <si>
    <t>Description of Error</t>
  </si>
  <si>
    <t>Electricity deduction keyed as 5,000 instead of 500. EXAMPLE DATA.</t>
  </si>
  <si>
    <t>Required Correction</t>
  </si>
  <si>
    <t>Change electricity deduction from 5,000 to 500.</t>
  </si>
  <si>
    <t>Justification</t>
  </si>
  <si>
    <t>Electricity usage statement shows 500.</t>
  </si>
  <si>
    <t>B. PAYROLL DEPARTMENT HEAD DECISION (notified automatically on submission)</t>
  </si>
  <si>
    <t>Decision</t>
  </si>
  <si>
    <t>Decision Date / Time</t>
  </si>
  <si>
    <t>Reason (recorded if Rejected)</t>
  </si>
  <si>
    <t>Entry Unlocked</t>
  </si>
  <si>
    <t>Yes - Officer notified automatically</t>
  </si>
  <si>
    <t>Corrected Entry Ref.</t>
  </si>
  <si>
    <t>PAY-2026-10-HQ (rev. 2)</t>
  </si>
  <si>
    <t>C. CONTROL LOG - PERMANENTLY RECORDED AND VISIBLE TO INTERNAL CONTROL</t>
  </si>
  <si>
    <t>Original entry</t>
  </si>
  <si>
    <t>Recorded</t>
  </si>
  <si>
    <t>Correction request</t>
  </si>
  <si>
    <t>Department Head decision</t>
  </si>
  <si>
    <t>Corrected entry</t>
  </si>
  <si>
    <t>REQUESTED BY
(Payroll Officer)</t>
  </si>
  <si>
    <t>DECIDED BY
(Payroll Department Head)</t>
  </si>
  <si>
    <t>1. Applies to entries already submitted and not caught by IC at the final payroll stage. The Officer can never modify or delete a submitted entry directly.</t>
  </si>
  <si>
    <t>2. IC rejections of the consolidated payroll use the unlock loop in PY-12, not this form. Every step is written to the Control Log (layout FA-18).</t>
  </si>
  <si>
    <t>PAYROLL APPROVAL AND VERIFICATION MATRIX</t>
  </si>
  <si>
    <t>Who prepares, approves and verifies each form; the Executive Director has no system role</t>
  </si>
  <si>
    <t>Form</t>
  </si>
  <si>
    <t>Initiated / Prepared By</t>
  </si>
  <si>
    <t>Department Head Action</t>
  </si>
  <si>
    <t>Director (physical, outside system)</t>
  </si>
  <si>
    <t>Other Approver</t>
  </si>
  <si>
    <t>Internal Control (read-only)</t>
  </si>
  <si>
    <t>Automatic System Action</t>
  </si>
  <si>
    <t>Not specified in report (HR or Payroll)</t>
  </si>
  <si>
    <t>Not specified</t>
  </si>
  <si>
    <t>None</t>
  </si>
  <si>
    <t>Read-only view</t>
  </si>
  <si>
    <t>Date-effective history kept</t>
  </si>
  <si>
    <t>PY-03 Leave Record</t>
  </si>
  <si>
    <t>Employee (physical letter); Department Head records</t>
  </si>
  <si>
    <t>Records leave in system</t>
  </si>
  <si>
    <t>Approves letter physically; confirmation filed</t>
  </si>
  <si>
    <t>Checks balances in IC review</t>
  </si>
  <si>
    <t>Balance check; updates timesheet; enforces exceptional-leave rules</t>
  </si>
  <si>
    <t>Employee / designated officer / Second Unit designated person</t>
  </si>
  <si>
    <t>Reviews and finalizes at month end</t>
  </si>
  <si>
    <t>Checks vs other records</t>
  </si>
  <si>
    <t>Locks timesheet; routes to Payroll</t>
  </si>
  <si>
    <t>PY-07 Salary Advance</t>
  </si>
  <si>
    <t>Department Head submits</t>
  </si>
  <si>
    <t>Confirms in system</t>
  </si>
  <si>
    <t>Approval recorded by staff</t>
  </si>
  <si>
    <t>Finance Department Head authorizes</t>
  </si>
  <si>
    <t>Creates advance balance and monthly limit after PV payment</t>
  </si>
  <si>
    <t>Payroll Officer</t>
  </si>
  <si>
    <t>Payroll Dept Head reviews and approves</t>
  </si>
  <si>
    <t>Signs printed sheet AFTER IC verification</t>
  </si>
  <si>
    <t>Mandatory consolidated Verify / Reject</t>
  </si>
  <si>
    <t>Auto tax; auto net pay; pro-rata; posts entries after IC</t>
  </si>
  <si>
    <t>Designated Second Unit person</t>
  </si>
  <si>
    <t>Payroll Officer confirms each unit total</t>
  </si>
  <si>
    <t>Verifies totals per Second Unit</t>
  </si>
  <si>
    <t>Posts Dr Wages Expense / Cr Cash after IC</t>
  </si>
  <si>
    <t>System-generated</t>
  </si>
  <si>
    <t>Dept Head or Payroll Officer can download</t>
  </si>
  <si>
    <t>PDF payslip for each Permanent / Temporary employee</t>
  </si>
  <si>
    <t>Approves / rejects; unlocks if approved</t>
  </si>
  <si>
    <t>Sees full trail in Control Log</t>
  </si>
  <si>
    <t>Notifies Officer on unlock; logs every step</t>
  </si>
  <si>
    <t>ACCOUNTING ENTRIES - DEVELOPER REFERENCE (PAYROLL)</t>
  </si>
  <si>
    <t>Posted automatically in the background after IC verification - no manual input from Finance staff</t>
  </si>
  <si>
    <t>#</t>
  </si>
  <si>
    <t>Trigger Event</t>
  </si>
  <si>
    <t>Debit</t>
  </si>
  <si>
    <t>Credit</t>
  </si>
  <si>
    <t>Posting Basis</t>
  </si>
  <si>
    <t>Permanent / Temporary staff payroll posting</t>
  </si>
  <si>
    <t>Salary Expense Account</t>
  </si>
  <si>
    <t>Salaries Payable Account</t>
  </si>
  <si>
    <t>After IC verification of the consolidated payroll</t>
  </si>
  <si>
    <t>Income tax withheld</t>
  </si>
  <si>
    <t>Tax Payable to Government Account</t>
  </si>
  <si>
    <t>After IC verification</t>
  </si>
  <si>
    <t>Advance deduction applied</t>
  </si>
  <si>
    <t>Employee Advance Account</t>
  </si>
  <si>
    <t>After IC verification; reduces outstanding advance balance</t>
  </si>
  <si>
    <t>Salary payment via bank transfer</t>
  </si>
  <si>
    <t>Bank Account</t>
  </si>
  <si>
    <t>After bank processing</t>
  </si>
  <si>
    <t>Wages-based workers (cash payment)</t>
  </si>
  <si>
    <t>Wages Expense Account</t>
  </si>
  <si>
    <t>Cash Account</t>
  </si>
  <si>
    <t>After IC verification of Second Unit totals</t>
  </si>
  <si>
    <t>1. Entries are reproduced exactly as approved. The report does not state the AMOUNT basis of each line (gross vs net of tax, rent, electricity and advance). Rent and electricity deductions have no posting listed. Confirm the amount basis and these two items with the report owner before development.</t>
  </si>
  <si>
    <t>2. Salaries are recognized as an expense in the period earned, not when paid (accrual basis). Tax withheld is remitted to ARD within the legal timeframe (see PY-16).</t>
  </si>
  <si>
    <t>REQUIRED REPORTS - PAYROLL</t>
  </si>
  <si>
    <t>All reports use the standard header/footer shown in FA-16</t>
  </si>
  <si>
    <t>Report</t>
  </si>
  <si>
    <t>Frequency</t>
  </si>
  <si>
    <t>Filter Options</t>
  </si>
  <si>
    <t>Export</t>
  </si>
  <si>
    <t>Consolidated Payroll Summary</t>
  </si>
  <si>
    <t>On demand</t>
  </si>
  <si>
    <t>Custom date range, by HQ / Second Unit, by department</t>
  </si>
  <si>
    <t>PDF + Excel</t>
  </si>
  <si>
    <t>Digital Payslips</t>
  </si>
  <si>
    <t>Custom date range, per employee</t>
  </si>
  <si>
    <t>Leave Balance Report</t>
  </si>
  <si>
    <t>Custom date range, per employee, per department</t>
  </si>
  <si>
    <t>Timesheet Summary Report</t>
  </si>
  <si>
    <t>Custom date range, per department, per Second Unit</t>
  </si>
  <si>
    <t>Employee Advance Ledger</t>
  </si>
  <si>
    <t>Custom date range, per employee (showing outstanding balances)</t>
  </si>
  <si>
    <t>Tax Withholding Report</t>
  </si>
  <si>
    <t>Custom date range, consolidated for tax authority submission</t>
  </si>
  <si>
    <t>Control Log / Audit Trail</t>
  </si>
  <si>
    <t>Custom date range, by user, action type (tracks all unlocks/corrections)</t>
  </si>
  <si>
    <t>Internal Control Verification</t>
  </si>
  <si>
    <t>Custom date range, by verification outcome (Verified / Rejected)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</si>
</sst>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m\-yyyy"/>
    <numFmt numFmtId="165" formatCode="#,##0.00;\(#,##0.00\);\-"/>
    <numFmt numFmtId="166" formatCode="dd\-mmm\-yyyy\ hh:mm"/>
    <numFmt numFmtId="167" formatCode="#,##0.0"/>
    <numFmt numFmtId="168" formatCode="0.0%"/>
    <numFmt numFmtId="169" formatCode="mmm\ yyyy"/>
  </numFmts>
  <fonts count="16" x14ac:knownFonts="1">
    <font>
      <sz val="11"/>
      <color theme="1"/>
      <name val="Calibri"/>
      <family val="2"/>
      <charset val="1"/>
    </font>
    <font>
      <b/>
      <sz val="16"/>
      <color rgb="FF1F3864"/>
      <name val="Arial"/>
      <charset val="1"/>
    </font>
    <font>
      <b/>
      <sz val="13"/>
      <color rgb="FF000000"/>
      <name val="Arial"/>
      <charset val="1"/>
    </font>
    <font>
      <i/>
      <sz val="9"/>
      <color rgb="FF000000"/>
      <name val="Arial"/>
      <charset val="1"/>
    </font>
    <font>
      <b/>
      <sz val="10"/>
      <color rgb="FF000000"/>
      <name val="Arial"/>
      <charset val="1"/>
    </font>
    <font>
      <sz val="10"/>
      <color rgb="FF0000FF"/>
      <name val="Arial"/>
      <charset val="1"/>
    </font>
    <font>
      <sz val="10"/>
      <color rgb="FF000000"/>
      <name val="Arial"/>
      <charset val="1"/>
    </font>
    <font>
      <i/>
      <sz val="10"/>
      <color rgb="FF7F7F7F"/>
      <name val="Arial"/>
      <charset val="1"/>
    </font>
    <font>
      <sz val="10"/>
      <color rgb="FFFFFFFF"/>
      <name val="Arial"/>
      <charset val="1"/>
    </font>
    <font>
      <b/>
      <sz val="10"/>
      <color rgb="FFFFFFFF"/>
      <name val="Arial"/>
      <charset val="1"/>
    </font>
    <font>
      <u/>
      <sz val="10"/>
      <color rgb="FF0563C1"/>
      <name val="Arial"/>
      <charset val="1"/>
    </font>
    <font>
      <sz val="9"/>
      <color rgb="FF000000"/>
      <name val="Arial"/>
      <charset val="1"/>
    </font>
    <font>
      <b/>
      <sz val="14"/>
      <color rgb="FF1F3864"/>
      <name val="Arial"/>
      <charset val="1"/>
    </font>
    <font>
      <b/>
      <sz val="9"/>
      <color rgb="FFFFFFFF"/>
      <name val="Arial"/>
      <charset val="1"/>
    </font>
    <font>
      <b/>
      <sz val="12"/>
      <color rgb="FFFFFFFF"/>
      <name val="Arial"/>
      <charset val="1"/>
    </font>
    <font>
      <b/>
      <sz val="9"/>
      <color rgb="FF000000"/>
      <name val="Arial"/>
      <charset val="1"/>
    </font>
  </fonts>
  <fills count="7">
    <fill>
      <patternFill patternType="none"/>
    </fill>
    <fill>
      <patternFill patternType="gray125"/>
    </fill>
    <fill>
      <patternFill patternType="solid">
        <fgColor rgb="FFD9E1F2"/>
        <bgColor rgb="FFE7E6E6"/>
      </patternFill>
    </fill>
    <fill>
      <patternFill patternType="solid">
        <fgColor rgb="FFFFF2CC"/>
        <bgColor rgb="FFF2F2F2"/>
      </patternFill>
    </fill>
    <fill>
      <patternFill patternType="solid">
        <fgColor rgb="FFE7E6E6"/>
        <bgColor rgb="FFD9E1F2"/>
      </patternFill>
    </fill>
    <fill>
      <patternFill patternType="solid">
        <fgColor rgb="FFF2F2F2"/>
        <bgColor rgb="FFE7E6E6"/>
      </patternFill>
    </fill>
    <fill>
      <patternFill patternType="solid">
        <fgColor rgb="FF1F3864"/>
        <bgColor rgb="FF333333"/>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70">
    <xf numFmtId="0" fontId="0" fillId="0" borderId="0" xfId="0"/>
    <xf numFmtId="0" fontId="5" fillId="3"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1" fillId="0" borderId="1" xfId="0" applyFont="1" applyBorder="1" applyAlignment="1">
      <alignment horizontal="left" vertical="center" wrapText="1"/>
    </xf>
    <xf numFmtId="0" fontId="6" fillId="0" borderId="1" xfId="0" applyFont="1" applyBorder="1" applyAlignment="1">
      <alignment horizontal="left" vertical="center" wrapText="1"/>
    </xf>
    <xf numFmtId="0" fontId="4" fillId="2" borderId="1" xfId="0" applyFont="1" applyFill="1" applyBorder="1" applyAlignment="1">
      <alignment horizontal="left"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4" fillId="2"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6"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6" fillId="4"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164" fontId="5" fillId="3" borderId="1" xfId="0" applyNumberFormat="1" applyFont="1" applyFill="1" applyBorder="1" applyAlignment="1">
      <alignment horizontal="left" vertical="center" wrapText="1"/>
    </xf>
    <xf numFmtId="165" fontId="5" fillId="3" borderId="1" xfId="0" applyNumberFormat="1" applyFont="1" applyFill="1" applyBorder="1" applyAlignment="1">
      <alignment horizontal="left" vertical="center" wrapText="1"/>
    </xf>
    <xf numFmtId="165" fontId="6" fillId="0" borderId="1" xfId="0" applyNumberFormat="1" applyFont="1" applyBorder="1" applyAlignment="1">
      <alignment horizontal="left" vertical="center" wrapText="1"/>
    </xf>
    <xf numFmtId="0" fontId="13" fillId="6" borderId="1" xfId="0" applyFont="1" applyFill="1" applyBorder="1" applyAlignment="1">
      <alignment horizontal="center" vertical="center" wrapText="1"/>
    </xf>
    <xf numFmtId="0" fontId="6" fillId="0" borderId="1" xfId="0" applyFont="1" applyBorder="1" applyAlignment="1">
      <alignment horizontal="left" vertical="top" wrapText="1"/>
    </xf>
    <xf numFmtId="165" fontId="6" fillId="4" borderId="1" xfId="0" applyNumberFormat="1" applyFont="1" applyFill="1" applyBorder="1" applyAlignment="1">
      <alignment horizontal="left" vertical="center" wrapText="1"/>
    </xf>
    <xf numFmtId="165" fontId="4" fillId="4" borderId="1" xfId="0" applyNumberFormat="1" applyFont="1" applyFill="1" applyBorder="1" applyAlignment="1">
      <alignment horizontal="left" vertical="center" wrapText="1"/>
    </xf>
    <xf numFmtId="164" fontId="6" fillId="4" borderId="1" xfId="0" applyNumberFormat="1" applyFont="1" applyFill="1" applyBorder="1" applyAlignment="1">
      <alignment horizontal="left"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164" fontId="5" fillId="3" borderId="1" xfId="0" applyNumberFormat="1" applyFont="1" applyFill="1" applyBorder="1" applyAlignment="1">
      <alignment horizontal="center" vertical="center" wrapText="1"/>
    </xf>
    <xf numFmtId="164" fontId="6" fillId="4" borderId="1" xfId="0" applyNumberFormat="1" applyFont="1" applyFill="1" applyBorder="1" applyAlignment="1">
      <alignment horizontal="center" vertical="center" wrapText="1"/>
    </xf>
    <xf numFmtId="165" fontId="4" fillId="2" borderId="1" xfId="0" applyNumberFormat="1" applyFont="1" applyFill="1" applyBorder="1" applyAlignment="1">
      <alignment horizontal="left" vertical="center" wrapText="1"/>
    </xf>
    <xf numFmtId="167" fontId="5" fillId="3" borderId="1" xfId="0" applyNumberFormat="1" applyFont="1" applyFill="1" applyBorder="1" applyAlignment="1">
      <alignment horizontal="left" vertical="center" wrapText="1"/>
    </xf>
    <xf numFmtId="167" fontId="6" fillId="0" borderId="1" xfId="0" applyNumberFormat="1" applyFont="1" applyBorder="1" applyAlignment="1">
      <alignment horizontal="left" vertical="center" wrapText="1"/>
    </xf>
    <xf numFmtId="167" fontId="4" fillId="2" borderId="1" xfId="0" applyNumberFormat="1" applyFont="1" applyFill="1" applyBorder="1" applyAlignment="1">
      <alignment horizontal="left" vertical="center" wrapText="1"/>
    </xf>
    <xf numFmtId="0" fontId="7" fillId="5"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3" fontId="5" fillId="3" borderId="1" xfId="0" applyNumberFormat="1" applyFont="1" applyFill="1" applyBorder="1" applyAlignment="1">
      <alignment horizontal="left" vertical="center" wrapText="1"/>
    </xf>
    <xf numFmtId="168" fontId="5" fillId="3" borderId="1" xfId="0" applyNumberFormat="1" applyFont="1" applyFill="1" applyBorder="1" applyAlignment="1">
      <alignment horizontal="left" vertical="center" wrapText="1"/>
    </xf>
    <xf numFmtId="169" fontId="5" fillId="3" borderId="1" xfId="0" applyNumberFormat="1" applyFont="1" applyFill="1" applyBorder="1" applyAlignment="1">
      <alignment horizontal="left" vertical="center" wrapText="1"/>
    </xf>
    <xf numFmtId="169" fontId="6" fillId="0" borderId="1" xfId="0" applyNumberFormat="1" applyFont="1" applyBorder="1" applyAlignment="1">
      <alignment horizontal="left" vertical="center" wrapText="1"/>
    </xf>
    <xf numFmtId="164" fontId="6" fillId="0" borderId="1" xfId="0" applyNumberFormat="1" applyFont="1" applyBorder="1" applyAlignment="1">
      <alignment horizontal="left" vertical="center" wrapText="1"/>
    </xf>
    <xf numFmtId="165" fontId="5" fillId="3" borderId="1" xfId="0" applyNumberFormat="1" applyFont="1" applyFill="1" applyBorder="1" applyAlignment="1">
      <alignment horizontal="left" vertical="center" wrapText="1"/>
    </xf>
    <xf numFmtId="0" fontId="13" fillId="6" borderId="1" xfId="0" applyFont="1" applyFill="1" applyBorder="1" applyAlignment="1">
      <alignment horizontal="center" vertical="center" wrapText="1"/>
    </xf>
    <xf numFmtId="0" fontId="6" fillId="0" borderId="1" xfId="0" applyFont="1" applyBorder="1" applyAlignment="1">
      <alignment horizontal="left" vertical="top" wrapText="1"/>
    </xf>
    <xf numFmtId="0" fontId="6" fillId="4" borderId="1" xfId="0" applyFont="1" applyFill="1" applyBorder="1" applyAlignment="1">
      <alignment horizontal="left" vertical="center" wrapText="1"/>
    </xf>
    <xf numFmtId="164" fontId="5" fillId="3" borderId="1" xfId="0" applyNumberFormat="1" applyFont="1" applyFill="1" applyBorder="1" applyAlignment="1">
      <alignment horizontal="left" vertical="center" wrapText="1"/>
    </xf>
    <xf numFmtId="165" fontId="6" fillId="4" borderId="1" xfId="0" applyNumberFormat="1" applyFont="1" applyFill="1" applyBorder="1" applyAlignment="1">
      <alignment horizontal="left" vertical="center" wrapText="1"/>
    </xf>
    <xf numFmtId="165" fontId="4" fillId="4" borderId="1" xfId="0" applyNumberFormat="1" applyFont="1" applyFill="1" applyBorder="1" applyAlignment="1">
      <alignment horizontal="left" vertical="center" wrapText="1"/>
    </xf>
    <xf numFmtId="164" fontId="6" fillId="4" borderId="1" xfId="0" applyNumberFormat="1" applyFont="1" applyFill="1" applyBorder="1" applyAlignment="1">
      <alignment horizontal="left" vertical="center" wrapText="1"/>
    </xf>
    <xf numFmtId="0" fontId="9" fillId="6"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6" fillId="6" borderId="1" xfId="0" applyFont="1" applyFill="1" applyBorder="1" applyAlignment="1">
      <alignment horizontal="left" vertical="center" wrapText="1"/>
    </xf>
    <xf numFmtId="0" fontId="4" fillId="2" borderId="1" xfId="0" applyFont="1" applyFill="1" applyBorder="1" applyAlignment="1">
      <alignment horizontal="right" vertical="center" wrapText="1"/>
    </xf>
    <xf numFmtId="166" fontId="6" fillId="4" borderId="1" xfId="0" applyNumberFormat="1" applyFont="1" applyFill="1" applyBorder="1" applyAlignment="1">
      <alignment horizontal="left" vertical="center" wrapText="1"/>
    </xf>
    <xf numFmtId="165" fontId="4" fillId="2" borderId="1" xfId="0" applyNumberFormat="1" applyFont="1" applyFill="1" applyBorder="1" applyAlignment="1">
      <alignment horizontal="left" vertical="center" wrapText="1"/>
    </xf>
    <xf numFmtId="0" fontId="14" fillId="6" borderId="1" xfId="0" applyFont="1" applyFill="1" applyBorder="1" applyAlignment="1">
      <alignment horizontal="left" vertical="center" wrapText="1"/>
    </xf>
    <xf numFmtId="165" fontId="14" fillId="6" borderId="1" xfId="0" applyNumberFormat="1" applyFont="1" applyFill="1" applyBorder="1" applyAlignment="1">
      <alignment horizontal="left" vertical="center" wrapText="1"/>
    </xf>
    <xf numFmtId="0" fontId="15" fillId="2"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3" fillId="0" borderId="0" xfId="0" applyFont="1" applyAlignment="1">
      <alignment horizontal="left" vertical="center" wrapText="1"/>
    </xf>
    <xf numFmtId="0" fontId="6" fillId="2" borderId="1" xfId="0" applyFont="1" applyFill="1" applyBorder="1" applyAlignment="1">
      <alignment horizontal="left" vertical="center" wrapText="1"/>
    </xf>
    <xf numFmtId="0" fontId="6"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F2F2F2"/>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E7E6E6"/>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North_Coal_ERP_Payroll_Forms.xlsx" TargetMode="External"/><Relationship Id="rId13" Type="http://schemas.openxmlformats.org/officeDocument/2006/relationships/hyperlink" Target="North_Coal_ERP_Payroll_Forms.xlsx" TargetMode="External"/><Relationship Id="rId18" Type="http://schemas.openxmlformats.org/officeDocument/2006/relationships/hyperlink" Target="North_Coal_ERP_Payroll_Forms.xlsx" TargetMode="External"/><Relationship Id="rId3" Type="http://schemas.openxmlformats.org/officeDocument/2006/relationships/hyperlink" Target="North_Coal_ERP_Payroll_Forms.xlsx" TargetMode="External"/><Relationship Id="rId21" Type="http://schemas.openxmlformats.org/officeDocument/2006/relationships/printerSettings" Target="../printerSettings/printerSettings1.bin"/><Relationship Id="rId7" Type="http://schemas.openxmlformats.org/officeDocument/2006/relationships/hyperlink" Target="North_Coal_ERP_Payroll_Forms.xlsx" TargetMode="External"/><Relationship Id="rId12" Type="http://schemas.openxmlformats.org/officeDocument/2006/relationships/hyperlink" Target="North_Coal_ERP_Payroll_Forms.xlsx" TargetMode="External"/><Relationship Id="rId17" Type="http://schemas.openxmlformats.org/officeDocument/2006/relationships/hyperlink" Target="North_Coal_ERP_Payroll_Forms.xlsx" TargetMode="External"/><Relationship Id="rId2" Type="http://schemas.openxmlformats.org/officeDocument/2006/relationships/hyperlink" Target="North_Coal_ERP_Payroll_Forms.xlsx" TargetMode="External"/><Relationship Id="rId16" Type="http://schemas.openxmlformats.org/officeDocument/2006/relationships/hyperlink" Target="North_Coal_ERP_Payroll_Forms.xlsx" TargetMode="External"/><Relationship Id="rId20" Type="http://schemas.openxmlformats.org/officeDocument/2006/relationships/hyperlink" Target="North_Coal_ERP_Payroll_Forms.xlsx" TargetMode="External"/><Relationship Id="rId1" Type="http://schemas.openxmlformats.org/officeDocument/2006/relationships/hyperlink" Target="North_Coal_ERP_Payroll_Forms.xlsx" TargetMode="External"/><Relationship Id="rId6" Type="http://schemas.openxmlformats.org/officeDocument/2006/relationships/hyperlink" Target="North_Coal_ERP_Payroll_Forms.xlsx" TargetMode="External"/><Relationship Id="rId11" Type="http://schemas.openxmlformats.org/officeDocument/2006/relationships/hyperlink" Target="North_Coal_ERP_Payroll_Forms.xlsx" TargetMode="External"/><Relationship Id="rId5" Type="http://schemas.openxmlformats.org/officeDocument/2006/relationships/hyperlink" Target="North_Coal_ERP_Payroll_Forms.xlsx" TargetMode="External"/><Relationship Id="rId15" Type="http://schemas.openxmlformats.org/officeDocument/2006/relationships/hyperlink" Target="North_Coal_ERP_Payroll_Forms.xlsx" TargetMode="External"/><Relationship Id="rId10" Type="http://schemas.openxmlformats.org/officeDocument/2006/relationships/hyperlink" Target="North_Coal_ERP_Payroll_Forms.xlsx" TargetMode="External"/><Relationship Id="rId19" Type="http://schemas.openxmlformats.org/officeDocument/2006/relationships/hyperlink" Target="North_Coal_ERP_Payroll_Forms.xlsx" TargetMode="External"/><Relationship Id="rId4" Type="http://schemas.openxmlformats.org/officeDocument/2006/relationships/hyperlink" Target="North_Coal_ERP_Payroll_Forms.xlsx" TargetMode="External"/><Relationship Id="rId9" Type="http://schemas.openxmlformats.org/officeDocument/2006/relationships/hyperlink" Target="North_Coal_ERP_Payroll_Forms.xlsx" TargetMode="External"/><Relationship Id="rId14" Type="http://schemas.openxmlformats.org/officeDocument/2006/relationships/hyperlink" Target="North_Coal_ERP_Payroll_Form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D40"/>
  <sheetViews>
    <sheetView showGridLines="0" tabSelected="1" zoomScaleNormal="100" workbookViewId="0">
      <selection activeCell="C16" sqref="C16"/>
    </sheetView>
  </sheetViews>
  <sheetFormatPr defaultColWidth="8.68359375" defaultRowHeight="14.4" x14ac:dyDescent="0.55000000000000004"/>
  <cols>
    <col min="1" max="1" width="12" customWidth="1"/>
    <col min="2" max="2" width="34" customWidth="1"/>
    <col min="3" max="3" width="86" customWidth="1"/>
    <col min="4" max="4" width="30" customWidth="1"/>
  </cols>
  <sheetData>
    <row r="1" spans="1:4" ht="18" customHeight="1" x14ac:dyDescent="0.55000000000000004">
      <c r="A1" s="12" t="s">
        <v>0</v>
      </c>
      <c r="B1" s="12"/>
      <c r="C1" s="12"/>
      <c r="D1" s="12"/>
    </row>
    <row r="2" spans="1:4" ht="18" customHeight="1" x14ac:dyDescent="0.55000000000000004">
      <c r="A2" s="11" t="s">
        <v>1</v>
      </c>
      <c r="B2" s="11"/>
      <c r="C2" s="11"/>
      <c r="D2" s="11"/>
    </row>
    <row r="3" spans="1:4" ht="18" customHeight="1" x14ac:dyDescent="0.55000000000000004">
      <c r="A3" s="10" t="s">
        <v>2</v>
      </c>
      <c r="B3" s="10"/>
      <c r="C3" s="10"/>
      <c r="D3" s="10"/>
    </row>
    <row r="5" spans="1:4" ht="18" customHeight="1" x14ac:dyDescent="0.55000000000000004">
      <c r="A5" s="9" t="s">
        <v>3</v>
      </c>
      <c r="B5" s="9"/>
      <c r="C5" s="9"/>
      <c r="D5" s="9"/>
    </row>
    <row r="6" spans="1:4" ht="18" customHeight="1" x14ac:dyDescent="0.55000000000000004">
      <c r="A6" s="14" t="s">
        <v>4</v>
      </c>
      <c r="B6" s="8" t="s">
        <v>5</v>
      </c>
      <c r="C6" s="8"/>
      <c r="D6" s="8"/>
    </row>
    <row r="7" spans="1:4" ht="18" customHeight="1" x14ac:dyDescent="0.55000000000000004">
      <c r="A7" s="16" t="s">
        <v>6</v>
      </c>
      <c r="B7" s="8" t="s">
        <v>7</v>
      </c>
      <c r="C7" s="8"/>
      <c r="D7" s="8"/>
    </row>
    <row r="8" spans="1:4" ht="18" customHeight="1" x14ac:dyDescent="0.55000000000000004">
      <c r="A8" s="17" t="s">
        <v>8</v>
      </c>
      <c r="B8" s="8" t="s">
        <v>9</v>
      </c>
      <c r="C8" s="8"/>
      <c r="D8" s="8"/>
    </row>
    <row r="9" spans="1:4" ht="18" customHeight="1" x14ac:dyDescent="0.55000000000000004">
      <c r="A9" s="18" t="s">
        <v>10</v>
      </c>
      <c r="B9" s="8" t="s">
        <v>11</v>
      </c>
      <c r="C9" s="8"/>
      <c r="D9" s="8"/>
    </row>
    <row r="11" spans="1:4" ht="24" customHeight="1" x14ac:dyDescent="0.55000000000000004">
      <c r="A11" s="19" t="s">
        <v>12</v>
      </c>
      <c r="B11" s="19" t="s">
        <v>13</v>
      </c>
      <c r="C11" s="19" t="s">
        <v>14</v>
      </c>
      <c r="D11" s="19" t="s">
        <v>15</v>
      </c>
    </row>
    <row r="12" spans="1:4" ht="19.5" customHeight="1" x14ac:dyDescent="0.55000000000000004">
      <c r="A12" s="20" t="s">
        <v>16</v>
      </c>
      <c r="B12" s="21" t="s">
        <v>17</v>
      </c>
      <c r="C12" s="15" t="s">
        <v>18</v>
      </c>
      <c r="D12" s="22" t="s">
        <v>19</v>
      </c>
    </row>
    <row r="13" spans="1:4" ht="30.75" customHeight="1" x14ac:dyDescent="0.55000000000000004">
      <c r="A13" s="20" t="s">
        <v>20</v>
      </c>
      <c r="B13" s="21" t="s">
        <v>21</v>
      </c>
      <c r="C13" s="15" t="s">
        <v>22</v>
      </c>
      <c r="D13" s="22" t="s">
        <v>23</v>
      </c>
    </row>
    <row r="14" spans="1:4" ht="19.5" customHeight="1" x14ac:dyDescent="0.55000000000000004">
      <c r="A14" s="20" t="s">
        <v>24</v>
      </c>
      <c r="B14" s="21" t="s">
        <v>25</v>
      </c>
      <c r="C14" s="15" t="s">
        <v>26</v>
      </c>
      <c r="D14" s="22" t="s">
        <v>27</v>
      </c>
    </row>
    <row r="15" spans="1:4" ht="30.75" customHeight="1" x14ac:dyDescent="0.55000000000000004">
      <c r="A15" s="20" t="s">
        <v>28</v>
      </c>
      <c r="B15" s="21" t="s">
        <v>29</v>
      </c>
      <c r="C15" s="15" t="s">
        <v>30</v>
      </c>
      <c r="D15" s="22" t="s">
        <v>31</v>
      </c>
    </row>
    <row r="16" spans="1:4" ht="19.5" customHeight="1" x14ac:dyDescent="0.55000000000000004">
      <c r="A16" s="20" t="s">
        <v>32</v>
      </c>
      <c r="B16" s="21" t="s">
        <v>33</v>
      </c>
      <c r="C16" s="15" t="s">
        <v>34</v>
      </c>
      <c r="D16" s="22" t="s">
        <v>35</v>
      </c>
    </row>
    <row r="17" spans="1:4" ht="30.75" customHeight="1" x14ac:dyDescent="0.55000000000000004">
      <c r="A17" s="20" t="s">
        <v>36</v>
      </c>
      <c r="B17" s="21" t="s">
        <v>37</v>
      </c>
      <c r="C17" s="15" t="s">
        <v>38</v>
      </c>
      <c r="D17" s="22" t="s">
        <v>39</v>
      </c>
    </row>
    <row r="18" spans="1:4" ht="30.75" customHeight="1" x14ac:dyDescent="0.55000000000000004">
      <c r="A18" s="20" t="s">
        <v>40</v>
      </c>
      <c r="B18" s="21" t="s">
        <v>41</v>
      </c>
      <c r="C18" s="15" t="s">
        <v>42</v>
      </c>
      <c r="D18" s="22" t="s">
        <v>43</v>
      </c>
    </row>
    <row r="19" spans="1:4" ht="30.75" customHeight="1" x14ac:dyDescent="0.55000000000000004">
      <c r="A19" s="20" t="s">
        <v>44</v>
      </c>
      <c r="B19" s="21" t="s">
        <v>45</v>
      </c>
      <c r="C19" s="15" t="s">
        <v>46</v>
      </c>
      <c r="D19" s="22" t="s">
        <v>47</v>
      </c>
    </row>
    <row r="20" spans="1:4" ht="30.75" customHeight="1" x14ac:dyDescent="0.55000000000000004">
      <c r="A20" s="20" t="s">
        <v>48</v>
      </c>
      <c r="B20" s="21" t="s">
        <v>49</v>
      </c>
      <c r="C20" s="15" t="s">
        <v>50</v>
      </c>
      <c r="D20" s="22" t="s">
        <v>51</v>
      </c>
    </row>
    <row r="21" spans="1:4" ht="19.5" customHeight="1" x14ac:dyDescent="0.55000000000000004">
      <c r="A21" s="20" t="s">
        <v>52</v>
      </c>
      <c r="B21" s="21" t="s">
        <v>53</v>
      </c>
      <c r="C21" s="15" t="s">
        <v>54</v>
      </c>
      <c r="D21" s="22" t="s">
        <v>55</v>
      </c>
    </row>
    <row r="22" spans="1:4" ht="30.75" customHeight="1" x14ac:dyDescent="0.55000000000000004">
      <c r="A22" s="20" t="s">
        <v>56</v>
      </c>
      <c r="B22" s="21" t="s">
        <v>57</v>
      </c>
      <c r="C22" s="15" t="s">
        <v>58</v>
      </c>
      <c r="D22" s="22" t="s">
        <v>59</v>
      </c>
    </row>
    <row r="23" spans="1:4" ht="30.75" customHeight="1" x14ac:dyDescent="0.55000000000000004">
      <c r="A23" s="20" t="s">
        <v>60</v>
      </c>
      <c r="B23" s="21" t="s">
        <v>61</v>
      </c>
      <c r="C23" s="15" t="s">
        <v>62</v>
      </c>
      <c r="D23" s="22" t="s">
        <v>63</v>
      </c>
    </row>
    <row r="24" spans="1:4" ht="30.75" customHeight="1" x14ac:dyDescent="0.55000000000000004">
      <c r="A24" s="20" t="s">
        <v>64</v>
      </c>
      <c r="B24" s="21" t="s">
        <v>65</v>
      </c>
      <c r="C24" s="15" t="s">
        <v>66</v>
      </c>
      <c r="D24" s="22" t="s">
        <v>67</v>
      </c>
    </row>
    <row r="25" spans="1:4" ht="30.75" customHeight="1" x14ac:dyDescent="0.55000000000000004">
      <c r="A25" s="20" t="s">
        <v>68</v>
      </c>
      <c r="B25" s="21" t="s">
        <v>69</v>
      </c>
      <c r="C25" s="15" t="s">
        <v>70</v>
      </c>
      <c r="D25" s="22" t="s">
        <v>71</v>
      </c>
    </row>
    <row r="26" spans="1:4" ht="19.5" customHeight="1" x14ac:dyDescent="0.55000000000000004">
      <c r="A26" s="20" t="s">
        <v>72</v>
      </c>
      <c r="B26" s="21" t="s">
        <v>73</v>
      </c>
      <c r="C26" s="15" t="s">
        <v>74</v>
      </c>
      <c r="D26" s="22" t="s">
        <v>75</v>
      </c>
    </row>
    <row r="27" spans="1:4" ht="30.75" customHeight="1" x14ac:dyDescent="0.55000000000000004">
      <c r="A27" s="20" t="s">
        <v>76</v>
      </c>
      <c r="B27" s="21" t="s">
        <v>77</v>
      </c>
      <c r="C27" s="15" t="s">
        <v>78</v>
      </c>
      <c r="D27" s="22" t="s">
        <v>79</v>
      </c>
    </row>
    <row r="28" spans="1:4" ht="30.75" customHeight="1" x14ac:dyDescent="0.55000000000000004">
      <c r="A28" s="20" t="s">
        <v>80</v>
      </c>
      <c r="B28" s="21" t="s">
        <v>81</v>
      </c>
      <c r="C28" s="15" t="s">
        <v>82</v>
      </c>
      <c r="D28" s="22" t="s">
        <v>83</v>
      </c>
    </row>
    <row r="29" spans="1:4" ht="30.75" customHeight="1" x14ac:dyDescent="0.55000000000000004">
      <c r="A29" s="20" t="s">
        <v>84</v>
      </c>
      <c r="B29" s="21" t="s">
        <v>85</v>
      </c>
      <c r="C29" s="15" t="s">
        <v>86</v>
      </c>
      <c r="D29" s="22" t="s">
        <v>87</v>
      </c>
    </row>
    <row r="30" spans="1:4" ht="19.5" customHeight="1" x14ac:dyDescent="0.55000000000000004">
      <c r="A30" s="20" t="s">
        <v>88</v>
      </c>
      <c r="B30" s="21" t="s">
        <v>89</v>
      </c>
      <c r="C30" s="15" t="s">
        <v>90</v>
      </c>
      <c r="D30" s="22" t="s">
        <v>91</v>
      </c>
    </row>
    <row r="31" spans="1:4" ht="19.5" customHeight="1" x14ac:dyDescent="0.55000000000000004">
      <c r="A31" s="20" t="s">
        <v>92</v>
      </c>
      <c r="B31" s="21" t="s">
        <v>93</v>
      </c>
      <c r="C31" s="15" t="s">
        <v>94</v>
      </c>
      <c r="D31" s="22" t="s">
        <v>95</v>
      </c>
    </row>
    <row r="33" spans="1:4" ht="18" customHeight="1" x14ac:dyDescent="0.55000000000000004">
      <c r="A33" s="9" t="s">
        <v>96</v>
      </c>
      <c r="B33" s="9"/>
      <c r="C33" s="9"/>
      <c r="D33" s="9"/>
    </row>
    <row r="34" spans="1:4" ht="27.75" customHeight="1" x14ac:dyDescent="0.55000000000000004">
      <c r="A34" s="7" t="s">
        <v>97</v>
      </c>
      <c r="B34" s="7"/>
      <c r="C34" s="7"/>
      <c r="D34" s="7"/>
    </row>
    <row r="35" spans="1:4" ht="30.75" customHeight="1" x14ac:dyDescent="0.55000000000000004">
      <c r="A35" s="7" t="s">
        <v>98</v>
      </c>
      <c r="B35" s="7"/>
      <c r="C35" s="7"/>
      <c r="D35" s="7"/>
    </row>
    <row r="36" spans="1:4" ht="30.75" customHeight="1" x14ac:dyDescent="0.55000000000000004">
      <c r="A36" s="7" t="s">
        <v>99</v>
      </c>
      <c r="B36" s="7"/>
      <c r="C36" s="7"/>
      <c r="D36" s="7"/>
    </row>
    <row r="37" spans="1:4" ht="30.75" customHeight="1" x14ac:dyDescent="0.55000000000000004">
      <c r="A37" s="7" t="s">
        <v>100</v>
      </c>
      <c r="B37" s="7"/>
      <c r="C37" s="7"/>
      <c r="D37" s="7"/>
    </row>
    <row r="38" spans="1:4" ht="30.75" customHeight="1" x14ac:dyDescent="0.55000000000000004">
      <c r="A38" s="7" t="s">
        <v>101</v>
      </c>
      <c r="B38" s="7"/>
      <c r="C38" s="7"/>
      <c r="D38" s="7"/>
    </row>
    <row r="39" spans="1:4" ht="30.75" customHeight="1" x14ac:dyDescent="0.55000000000000004">
      <c r="A39" s="7" t="s">
        <v>102</v>
      </c>
      <c r="B39" s="7"/>
      <c r="C39" s="7"/>
      <c r="D39" s="7"/>
    </row>
    <row r="40" spans="1:4" ht="27.75" customHeight="1" x14ac:dyDescent="0.55000000000000004">
      <c r="A40" s="7" t="s">
        <v>103</v>
      </c>
      <c r="B40" s="7"/>
      <c r="C40" s="7"/>
      <c r="D40" s="7"/>
    </row>
  </sheetData>
  <mergeCells count="16">
    <mergeCell ref="A40:D40"/>
    <mergeCell ref="A35:D35"/>
    <mergeCell ref="A36:D36"/>
    <mergeCell ref="A37:D37"/>
    <mergeCell ref="A38:D38"/>
    <mergeCell ref="A39:D39"/>
    <mergeCell ref="B7:D7"/>
    <mergeCell ref="B8:D8"/>
    <mergeCell ref="B9:D9"/>
    <mergeCell ref="A33:D33"/>
    <mergeCell ref="A34:D34"/>
    <mergeCell ref="A1:D1"/>
    <mergeCell ref="A2:D2"/>
    <mergeCell ref="A3:D3"/>
    <mergeCell ref="A5:D5"/>
    <mergeCell ref="B6:D6"/>
  </mergeCells>
  <hyperlinks>
    <hyperlink ref="B12" r:id="rId1" location="'PY-01%20Employee%20Record'!A1" xr:uid="{00000000-0004-0000-0000-000000000000}"/>
    <hyperlink ref="B13" r:id="rId2" location="'PY-02%20Salary%20Change%20Pro-Rata'!A1" xr:uid="{00000000-0004-0000-0000-000001000000}"/>
    <hyperlink ref="B14" r:id="rId3" location="'PY-03%20Leave%20Request'!A1" xr:uid="{00000000-0004-0000-0000-000002000000}"/>
    <hyperlink ref="B15" r:id="rId4" location="'PY-04%20Leave%20Balance%20Summary'!A1" xr:uid="{00000000-0004-0000-0000-000003000000}"/>
    <hyperlink ref="B16" r:id="rId5" location="'PY-05%20Timesheet'!A1" xr:uid="{00000000-0004-0000-0000-000004000000}"/>
    <hyperlink ref="B17" r:id="rId6" location="'PY-06%20Dept%20Timesheet%20Finalize'!A1" xr:uid="{00000000-0004-0000-0000-000005000000}"/>
    <hyperlink ref="B18" r:id="rId7" location="'PY-07%20Salary%20Advance%20Request'!A1" xr:uid="{00000000-0004-0000-0000-000006000000}"/>
    <hyperlink ref="B19" r:id="rId8" location="'PY-08%20Employee%20Advance%20Ledger'!A1" xr:uid="{00000000-0004-0000-0000-000007000000}"/>
    <hyperlink ref="B20" r:id="rId9" location="'PY-09%20Payroll%20Calculation'!A1" xr:uid="{00000000-0004-0000-0000-000008000000}"/>
    <hyperlink ref="B21" r:id="rId10" location="'PY-10%20Wages-Based%20Entry'!A1" xr:uid="{00000000-0004-0000-0000-000009000000}"/>
    <hyperlink ref="B22" r:id="rId11" location="'PY-11%20Payroll%20Summary'!A1" xr:uid="{00000000-0004-0000-0000-00000A000000}"/>
    <hyperlink ref="B23" r:id="rId12" location="'PY-12%20IC%20Payroll%20Verification'!A1" xr:uid="{00000000-0004-0000-0000-00000B000000}"/>
    <hyperlink ref="B24" r:id="rId13" location="'PY-13%20Payslip'!A1" xr:uid="{00000000-0004-0000-0000-00000C000000}"/>
    <hyperlink ref="B25" r:id="rId14" location="'PY-14%20Bank%20Transfer%20List'!A1" xr:uid="{00000000-0004-0000-0000-00000D000000}"/>
    <hyperlink ref="B26" r:id="rId15" location="'PY-15%20Tax%20Slab%20Config'!A1" xr:uid="{00000000-0004-0000-0000-00000E000000}"/>
    <hyperlink ref="B27" r:id="rId16" location="'PY-16%20Tax%20Withholding%20Register'!A1" xr:uid="{00000000-0004-0000-0000-00000F000000}"/>
    <hyperlink ref="B28" r:id="rId17" location="'PY-17%20Correction%20Request'!A1" xr:uid="{00000000-0004-0000-0000-000010000000}"/>
    <hyperlink ref="B29" r:id="rId18" location="'PY-18%20Approval%20Matrix'!A1" xr:uid="{00000000-0004-0000-0000-000011000000}"/>
    <hyperlink ref="B30" r:id="rId19" location="'PY-19%20Accounting%20Entries'!A1" xr:uid="{00000000-0004-0000-0000-000012000000}"/>
    <hyperlink ref="B31" r:id="rId20" location="'PY-20%20Reports%20Spec'!A1" xr:uid="{00000000-0004-0000-0000-000013000000}"/>
  </hyperlinks>
  <pageMargins left="0.5" right="0.5" top="1" bottom="1" header="0.511811023622047" footer="0.5"/>
  <pageSetup paperSize="9" scale="84" fitToHeight="0" orientation="landscape" horizontalDpi="300" verticalDpi="300" r:id="rId21"/>
  <headerFooter>
    <oddFooter>&amp;LIndex | Crest Point Consulting Group&amp;CPage &amp;P of &amp;N&amp;RStrictly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F32"/>
  <sheetViews>
    <sheetView showGridLines="0" zoomScaleNormal="100" workbookViewId="0">
      <selection sqref="A1:B3"/>
    </sheetView>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104</v>
      </c>
      <c r="B1" s="6"/>
      <c r="C1" s="5" t="s">
        <v>0</v>
      </c>
      <c r="D1" s="5"/>
      <c r="E1" s="5"/>
      <c r="F1" s="5"/>
    </row>
    <row r="2" spans="1:6" ht="21.75" customHeight="1" x14ac:dyDescent="0.55000000000000004">
      <c r="A2" s="6"/>
      <c r="B2" s="6"/>
      <c r="C2" s="4" t="s">
        <v>105</v>
      </c>
      <c r="D2" s="4"/>
      <c r="E2" s="4"/>
      <c r="F2" s="4"/>
    </row>
    <row r="3" spans="1:6" ht="30.75" customHeight="1" x14ac:dyDescent="0.55000000000000004">
      <c r="A3" s="6"/>
      <c r="B3" s="6"/>
      <c r="C3" s="3" t="s">
        <v>106</v>
      </c>
      <c r="D3" s="3"/>
      <c r="E3" s="3"/>
      <c r="F3" s="3"/>
    </row>
    <row r="5" spans="1:6" ht="18" customHeight="1" x14ac:dyDescent="0.55000000000000004">
      <c r="A5" s="2" t="s">
        <v>107</v>
      </c>
      <c r="B5" s="2"/>
      <c r="C5" s="2"/>
      <c r="D5" s="2"/>
      <c r="E5" s="2"/>
      <c r="F5" s="2"/>
    </row>
    <row r="6" spans="1:6" ht="19.5" customHeight="1" x14ac:dyDescent="0.55000000000000004">
      <c r="A6" s="9" t="s">
        <v>108</v>
      </c>
      <c r="B6" s="9"/>
      <c r="C6" s="23" t="s">
        <v>109</v>
      </c>
      <c r="D6" s="13" t="s">
        <v>110</v>
      </c>
      <c r="E6" s="1" t="s">
        <v>111</v>
      </c>
      <c r="F6" s="1"/>
    </row>
    <row r="7" spans="1:6" ht="19.5" customHeight="1" x14ac:dyDescent="0.55000000000000004">
      <c r="A7" s="9" t="s">
        <v>112</v>
      </c>
      <c r="B7" s="9"/>
      <c r="C7" s="24" t="s">
        <v>113</v>
      </c>
      <c r="D7" s="13" t="s">
        <v>114</v>
      </c>
      <c r="E7" s="1" t="s">
        <v>115</v>
      </c>
      <c r="F7" s="1"/>
    </row>
    <row r="8" spans="1:6" ht="19.5" customHeight="1" x14ac:dyDescent="0.55000000000000004">
      <c r="A8" s="9" t="s">
        <v>116</v>
      </c>
      <c r="B8" s="9"/>
      <c r="C8" s="24" t="s">
        <v>117</v>
      </c>
      <c r="D8" s="13" t="s">
        <v>118</v>
      </c>
      <c r="E8" s="1" t="s">
        <v>119</v>
      </c>
      <c r="F8" s="1"/>
    </row>
    <row r="9" spans="1:6" ht="19.5" customHeight="1" x14ac:dyDescent="0.55000000000000004">
      <c r="A9" s="9" t="s">
        <v>120</v>
      </c>
      <c r="B9" s="9"/>
      <c r="C9" s="24" t="s">
        <v>121</v>
      </c>
      <c r="D9" s="13" t="s">
        <v>122</v>
      </c>
      <c r="E9" s="1" t="s">
        <v>123</v>
      </c>
      <c r="F9" s="1"/>
    </row>
    <row r="10" spans="1:6" ht="19.5" customHeight="1" x14ac:dyDescent="0.55000000000000004">
      <c r="A10" s="9" t="s">
        <v>124</v>
      </c>
      <c r="B10" s="9"/>
      <c r="C10" s="25">
        <v>45352</v>
      </c>
      <c r="D10" s="13" t="s">
        <v>125</v>
      </c>
      <c r="E10" s="48">
        <v>40000</v>
      </c>
      <c r="F10" s="48"/>
    </row>
    <row r="12" spans="1:6" ht="18" customHeight="1" x14ac:dyDescent="0.55000000000000004">
      <c r="A12" s="2" t="s">
        <v>126</v>
      </c>
      <c r="B12" s="2"/>
      <c r="C12" s="2"/>
      <c r="D12" s="2"/>
      <c r="E12" s="2"/>
      <c r="F12" s="2"/>
    </row>
    <row r="13" spans="1:6" ht="19.5" customHeight="1" x14ac:dyDescent="0.55000000000000004">
      <c r="A13" s="9" t="s">
        <v>127</v>
      </c>
      <c r="B13" s="9"/>
      <c r="C13" s="24" t="s">
        <v>128</v>
      </c>
      <c r="D13" s="13" t="s">
        <v>129</v>
      </c>
      <c r="E13" s="1" t="s">
        <v>130</v>
      </c>
      <c r="F13" s="1"/>
    </row>
    <row r="15" spans="1:6" ht="18" customHeight="1" x14ac:dyDescent="0.55000000000000004">
      <c r="A15" s="2" t="s">
        <v>131</v>
      </c>
      <c r="B15" s="2"/>
      <c r="C15" s="2"/>
      <c r="D15" s="2"/>
      <c r="E15" s="2"/>
      <c r="F15" s="2"/>
    </row>
    <row r="16" spans="1:6" ht="30.75" customHeight="1" x14ac:dyDescent="0.55000000000000004">
      <c r="A16" s="19" t="s">
        <v>132</v>
      </c>
      <c r="B16" s="19" t="s">
        <v>133</v>
      </c>
      <c r="C16" s="19" t="s">
        <v>116</v>
      </c>
      <c r="D16" s="19" t="s">
        <v>134</v>
      </c>
      <c r="E16" s="19" t="s">
        <v>135</v>
      </c>
      <c r="F16" s="19" t="s">
        <v>136</v>
      </c>
    </row>
    <row r="17" spans="1:6" ht="18" customHeight="1" x14ac:dyDescent="0.55000000000000004">
      <c r="A17" s="20">
        <v>1</v>
      </c>
      <c r="B17" s="25">
        <v>45352</v>
      </c>
      <c r="C17" s="24" t="s">
        <v>137</v>
      </c>
      <c r="D17" s="24" t="s">
        <v>138</v>
      </c>
      <c r="E17" s="26">
        <v>30000</v>
      </c>
      <c r="F17" s="24" t="s">
        <v>139</v>
      </c>
    </row>
    <row r="18" spans="1:6" ht="18" customHeight="1" x14ac:dyDescent="0.55000000000000004">
      <c r="A18" s="20">
        <v>2</v>
      </c>
      <c r="B18" s="25">
        <v>46023</v>
      </c>
      <c r="C18" s="24" t="s">
        <v>117</v>
      </c>
      <c r="D18" s="24" t="s">
        <v>140</v>
      </c>
      <c r="E18" s="26">
        <v>40000</v>
      </c>
      <c r="F18" s="24" t="s">
        <v>139</v>
      </c>
    </row>
    <row r="19" spans="1:6" x14ac:dyDescent="0.55000000000000004">
      <c r="A19" s="20">
        <v>3</v>
      </c>
      <c r="B19" s="15"/>
      <c r="C19" s="15"/>
      <c r="D19" s="15"/>
      <c r="E19" s="27"/>
      <c r="F19" s="15"/>
    </row>
    <row r="20" spans="1:6" x14ac:dyDescent="0.55000000000000004">
      <c r="A20" s="20">
        <v>4</v>
      </c>
      <c r="B20" s="15"/>
      <c r="C20" s="15"/>
      <c r="D20" s="15"/>
      <c r="E20" s="27"/>
      <c r="F20" s="15"/>
    </row>
    <row r="22" spans="1:6" ht="30.75" customHeight="1" x14ac:dyDescent="0.55000000000000004">
      <c r="A22" s="49" t="s">
        <v>141</v>
      </c>
      <c r="B22" s="49"/>
      <c r="C22" s="49"/>
      <c r="D22" s="49" t="s">
        <v>142</v>
      </c>
      <c r="E22" s="49"/>
      <c r="F22" s="49"/>
    </row>
    <row r="23" spans="1:6" ht="19.5" customHeight="1" x14ac:dyDescent="0.55000000000000004">
      <c r="A23" s="8" t="s">
        <v>143</v>
      </c>
      <c r="B23" s="8"/>
      <c r="C23" s="8"/>
      <c r="D23" s="8" t="s">
        <v>143</v>
      </c>
      <c r="E23" s="8"/>
      <c r="F23" s="8"/>
    </row>
    <row r="24" spans="1:6" ht="19.5" customHeight="1" x14ac:dyDescent="0.55000000000000004">
      <c r="A24" s="8" t="s">
        <v>144</v>
      </c>
      <c r="B24" s="8"/>
      <c r="C24" s="8"/>
      <c r="D24" s="8" t="s">
        <v>144</v>
      </c>
      <c r="E24" s="8"/>
      <c r="F24" s="8"/>
    </row>
    <row r="25" spans="1:6" ht="43.5" customHeight="1" x14ac:dyDescent="0.55000000000000004">
      <c r="A25" s="50" t="s">
        <v>145</v>
      </c>
      <c r="B25" s="50"/>
      <c r="C25" s="50"/>
      <c r="D25" s="50" t="s">
        <v>145</v>
      </c>
      <c r="E25" s="50"/>
      <c r="F25" s="50"/>
    </row>
    <row r="26" spans="1:6" ht="19.5" customHeight="1" x14ac:dyDescent="0.55000000000000004">
      <c r="A26" s="8" t="s">
        <v>146</v>
      </c>
      <c r="B26" s="8"/>
      <c r="C26" s="8"/>
      <c r="D26" s="8" t="s">
        <v>146</v>
      </c>
      <c r="E26" s="8"/>
      <c r="F26" s="8"/>
    </row>
    <row r="28" spans="1:6" ht="18" customHeight="1" x14ac:dyDescent="0.55000000000000004">
      <c r="A28" s="9" t="s">
        <v>147</v>
      </c>
      <c r="B28" s="9"/>
      <c r="C28" s="9"/>
      <c r="D28" s="9"/>
      <c r="E28" s="9"/>
      <c r="F28" s="9"/>
    </row>
    <row r="29" spans="1:6" ht="30.75" customHeight="1" x14ac:dyDescent="0.55000000000000004">
      <c r="A29" s="7" t="s">
        <v>148</v>
      </c>
      <c r="B29" s="7"/>
      <c r="C29" s="7"/>
      <c r="D29" s="7"/>
      <c r="E29" s="7"/>
      <c r="F29" s="7"/>
    </row>
    <row r="30" spans="1:6" ht="27.75" customHeight="1" x14ac:dyDescent="0.55000000000000004">
      <c r="A30" s="7" t="s">
        <v>149</v>
      </c>
      <c r="B30" s="7"/>
      <c r="C30" s="7"/>
      <c r="D30" s="7"/>
      <c r="E30" s="7"/>
      <c r="F30" s="7"/>
    </row>
    <row r="31" spans="1:6" ht="27.75" customHeight="1" x14ac:dyDescent="0.55000000000000004">
      <c r="A31" s="7" t="s">
        <v>150</v>
      </c>
      <c r="B31" s="7"/>
      <c r="C31" s="7"/>
      <c r="D31" s="7"/>
      <c r="E31" s="7"/>
      <c r="F31" s="7"/>
    </row>
    <row r="32" spans="1:6" ht="30.75" customHeight="1" x14ac:dyDescent="0.55000000000000004">
      <c r="A32" s="7" t="s">
        <v>151</v>
      </c>
      <c r="B32" s="7"/>
      <c r="C32" s="7"/>
      <c r="D32" s="7"/>
      <c r="E32" s="7"/>
      <c r="F32" s="7"/>
    </row>
  </sheetData>
  <mergeCells count="34">
    <mergeCell ref="A31:F31"/>
    <mergeCell ref="A32:F32"/>
    <mergeCell ref="A26:C26"/>
    <mergeCell ref="D26:F26"/>
    <mergeCell ref="A28:F28"/>
    <mergeCell ref="A29:F29"/>
    <mergeCell ref="A30:F30"/>
    <mergeCell ref="A23:C23"/>
    <mergeCell ref="D23:F23"/>
    <mergeCell ref="A24:C24"/>
    <mergeCell ref="D24:F24"/>
    <mergeCell ref="A25:C25"/>
    <mergeCell ref="D25:F25"/>
    <mergeCell ref="A13:B13"/>
    <mergeCell ref="E13:F13"/>
    <mergeCell ref="A15:F15"/>
    <mergeCell ref="A22:C22"/>
    <mergeCell ref="D22:F22"/>
    <mergeCell ref="A9:B9"/>
    <mergeCell ref="E9:F9"/>
    <mergeCell ref="A10:B10"/>
    <mergeCell ref="E10:F10"/>
    <mergeCell ref="A12:F12"/>
    <mergeCell ref="A6:B6"/>
    <mergeCell ref="E6:F6"/>
    <mergeCell ref="A7:B7"/>
    <mergeCell ref="E7:F7"/>
    <mergeCell ref="A8:B8"/>
    <mergeCell ref="E8:F8"/>
    <mergeCell ref="A1:B3"/>
    <mergeCell ref="C1:F1"/>
    <mergeCell ref="C2:F2"/>
    <mergeCell ref="C3:F3"/>
    <mergeCell ref="A5:F5"/>
  </mergeCells>
  <dataValidations count="3">
    <dataValidation type="list" allowBlank="1" sqref="E6" xr:uid="{00000000-0002-0000-0100-000000000000}">
      <formula1>"Active,Inactive"</formula1>
      <formula2>0</formula2>
    </dataValidation>
    <dataValidation type="list" allowBlank="1" sqref="C9" xr:uid="{00000000-0002-0000-0100-000001000000}">
      <formula1>"Permanent,Temporary"</formula1>
      <formula2>0</formula2>
    </dataValidation>
    <dataValidation type="list" allowBlank="1" sqref="D17:D20" xr:uid="{00000000-0002-0000-0100-000002000000}">
      <formula1>"Initial,Salary change,Position change,Position and salary change"</formula1>
      <formula2>0</formula2>
    </dataValidation>
  </dataValidations>
  <pageMargins left="0.5" right="0.5" top="1" bottom="1" header="0.511811023622047" footer="0.5"/>
  <pageSetup paperSize="9" fitToHeight="0" orientation="portrait" horizontalDpi="300" verticalDpi="300"/>
  <headerFooter>
    <oddFooter>&amp;LPY-01 | Crest Point Consulting Group&amp;CPage &amp;P of &amp;N&amp;RStrictly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F26"/>
  <sheetViews>
    <sheetView showGridLines="0" zoomScaleNormal="100" workbookViewId="0">
      <selection sqref="A1:B3"/>
    </sheetView>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104</v>
      </c>
      <c r="B1" s="6"/>
      <c r="C1" s="5" t="s">
        <v>0</v>
      </c>
      <c r="D1" s="5"/>
      <c r="E1" s="5"/>
      <c r="F1" s="5"/>
    </row>
    <row r="2" spans="1:6" ht="21.75" customHeight="1" x14ac:dyDescent="0.55000000000000004">
      <c r="A2" s="6"/>
      <c r="B2" s="6"/>
      <c r="C2" s="4" t="s">
        <v>152</v>
      </c>
      <c r="D2" s="4"/>
      <c r="E2" s="4"/>
      <c r="F2" s="4"/>
    </row>
    <row r="3" spans="1:6" ht="21.75" customHeight="1" x14ac:dyDescent="0.55000000000000004">
      <c r="A3" s="6"/>
      <c r="B3" s="6"/>
      <c r="C3" s="3" t="s">
        <v>153</v>
      </c>
      <c r="D3" s="3"/>
      <c r="E3" s="3"/>
      <c r="F3" s="3"/>
    </row>
    <row r="5" spans="1:6" ht="18" customHeight="1" x14ac:dyDescent="0.55000000000000004">
      <c r="A5" s="2" t="s">
        <v>154</v>
      </c>
      <c r="B5" s="2"/>
      <c r="C5" s="2"/>
      <c r="D5" s="2"/>
      <c r="E5" s="2"/>
      <c r="F5" s="2"/>
    </row>
    <row r="6" spans="1:6" ht="19.5" customHeight="1" x14ac:dyDescent="0.55000000000000004">
      <c r="A6" s="9" t="s">
        <v>155</v>
      </c>
      <c r="B6" s="9"/>
      <c r="C6" s="23" t="s">
        <v>113</v>
      </c>
      <c r="D6" s="13" t="s">
        <v>108</v>
      </c>
      <c r="E6" s="51" t="s">
        <v>109</v>
      </c>
      <c r="F6" s="51"/>
    </row>
    <row r="7" spans="1:6" ht="19.5" customHeight="1" x14ac:dyDescent="0.55000000000000004">
      <c r="A7" s="9" t="s">
        <v>134</v>
      </c>
      <c r="B7" s="9"/>
      <c r="C7" s="24" t="s">
        <v>156</v>
      </c>
      <c r="D7" s="13" t="s">
        <v>157</v>
      </c>
      <c r="E7" s="52">
        <v>46347</v>
      </c>
      <c r="F7" s="52"/>
    </row>
    <row r="8" spans="1:6" ht="19.5" customHeight="1" x14ac:dyDescent="0.55000000000000004">
      <c r="A8" s="9" t="s">
        <v>158</v>
      </c>
      <c r="B8" s="9"/>
      <c r="C8" s="23" t="s">
        <v>117</v>
      </c>
      <c r="D8" s="13" t="s">
        <v>159</v>
      </c>
      <c r="E8" s="1" t="s">
        <v>160</v>
      </c>
      <c r="F8" s="1"/>
    </row>
    <row r="9" spans="1:6" ht="19.5" customHeight="1" x14ac:dyDescent="0.55000000000000004">
      <c r="A9" s="9" t="s">
        <v>161</v>
      </c>
      <c r="B9" s="9"/>
      <c r="C9" s="30">
        <v>40000</v>
      </c>
      <c r="D9" s="13" t="s">
        <v>162</v>
      </c>
      <c r="E9" s="48">
        <v>50000</v>
      </c>
      <c r="F9" s="48"/>
    </row>
    <row r="11" spans="1:6" ht="18" customHeight="1" x14ac:dyDescent="0.55000000000000004">
      <c r="A11" s="2" t="s">
        <v>163</v>
      </c>
      <c r="B11" s="2"/>
      <c r="C11" s="2"/>
      <c r="D11" s="2"/>
      <c r="E11" s="2"/>
      <c r="F11" s="2"/>
    </row>
    <row r="12" spans="1:6" ht="30.75" customHeight="1" x14ac:dyDescent="0.55000000000000004">
      <c r="A12" s="9" t="s">
        <v>164</v>
      </c>
      <c r="B12" s="9"/>
      <c r="C12" s="25">
        <v>46327</v>
      </c>
      <c r="D12" s="13" t="s">
        <v>165</v>
      </c>
      <c r="E12" s="51">
        <f>DAY(EOMONTH(C12,0))</f>
        <v>30</v>
      </c>
      <c r="F12" s="51"/>
    </row>
    <row r="13" spans="1:6" ht="19.5" customHeight="1" x14ac:dyDescent="0.55000000000000004">
      <c r="A13" s="9" t="s">
        <v>166</v>
      </c>
      <c r="B13" s="9"/>
      <c r="C13" s="23">
        <f>MAX(0,MIN(E12,E7-C12))</f>
        <v>20</v>
      </c>
      <c r="D13" s="13" t="s">
        <v>167</v>
      </c>
      <c r="E13" s="51">
        <f>E12-C13</f>
        <v>10</v>
      </c>
      <c r="F13" s="51"/>
    </row>
    <row r="14" spans="1:6" ht="30.75" customHeight="1" x14ac:dyDescent="0.55000000000000004">
      <c r="A14" s="9" t="s">
        <v>168</v>
      </c>
      <c r="B14" s="9"/>
      <c r="C14" s="30">
        <f>ROUND(C9*C13/E12,2)</f>
        <v>26666.67</v>
      </c>
      <c r="D14" s="13" t="s">
        <v>169</v>
      </c>
      <c r="E14" s="53">
        <f>ROUND(E9*E13/E12,2)</f>
        <v>16666.669999999998</v>
      </c>
      <c r="F14" s="53"/>
    </row>
    <row r="15" spans="1:6" ht="30.75" customHeight="1" x14ac:dyDescent="0.55000000000000004">
      <c r="A15" s="9" t="s">
        <v>170</v>
      </c>
      <c r="B15" s="9"/>
      <c r="C15" s="54">
        <f>ROUND(C9*C13/E12+E9*E13/E12,2)</f>
        <v>43333.33</v>
      </c>
      <c r="D15" s="54"/>
      <c r="E15" s="54"/>
      <c r="F15" s="54"/>
    </row>
    <row r="17" spans="1:6" ht="30.75" customHeight="1" x14ac:dyDescent="0.55000000000000004">
      <c r="A17" s="49" t="s">
        <v>171</v>
      </c>
      <c r="B17" s="49"/>
      <c r="C17" s="49"/>
      <c r="D17" s="49" t="s">
        <v>142</v>
      </c>
      <c r="E17" s="49"/>
      <c r="F17" s="49"/>
    </row>
    <row r="18" spans="1:6" ht="19.5" customHeight="1" x14ac:dyDescent="0.55000000000000004">
      <c r="A18" s="8" t="s">
        <v>143</v>
      </c>
      <c r="B18" s="8"/>
      <c r="C18" s="8"/>
      <c r="D18" s="8" t="s">
        <v>143</v>
      </c>
      <c r="E18" s="8"/>
      <c r="F18" s="8"/>
    </row>
    <row r="19" spans="1:6" ht="19.5" customHeight="1" x14ac:dyDescent="0.55000000000000004">
      <c r="A19" s="8" t="s">
        <v>144</v>
      </c>
      <c r="B19" s="8"/>
      <c r="C19" s="8"/>
      <c r="D19" s="8" t="s">
        <v>144</v>
      </c>
      <c r="E19" s="8"/>
      <c r="F19" s="8"/>
    </row>
    <row r="20" spans="1:6" ht="43.5" customHeight="1" x14ac:dyDescent="0.55000000000000004">
      <c r="A20" s="50" t="s">
        <v>145</v>
      </c>
      <c r="B20" s="50"/>
      <c r="C20" s="50"/>
      <c r="D20" s="50" t="s">
        <v>145</v>
      </c>
      <c r="E20" s="50"/>
      <c r="F20" s="50"/>
    </row>
    <row r="21" spans="1:6" ht="19.5" customHeight="1" x14ac:dyDescent="0.55000000000000004">
      <c r="A21" s="8" t="s">
        <v>146</v>
      </c>
      <c r="B21" s="8"/>
      <c r="C21" s="8"/>
      <c r="D21" s="8" t="s">
        <v>146</v>
      </c>
      <c r="E21" s="8"/>
      <c r="F21" s="8"/>
    </row>
    <row r="23" spans="1:6" ht="18" customHeight="1" x14ac:dyDescent="0.55000000000000004">
      <c r="A23" s="9" t="s">
        <v>147</v>
      </c>
      <c r="B23" s="9"/>
      <c r="C23" s="9"/>
      <c r="D23" s="9"/>
      <c r="E23" s="9"/>
      <c r="F23" s="9"/>
    </row>
    <row r="24" spans="1:6" ht="30.75" customHeight="1" x14ac:dyDescent="0.55000000000000004">
      <c r="A24" s="7" t="s">
        <v>172</v>
      </c>
      <c r="B24" s="7"/>
      <c r="C24" s="7"/>
      <c r="D24" s="7"/>
      <c r="E24" s="7"/>
      <c r="F24" s="7"/>
    </row>
    <row r="25" spans="1:6" ht="30.75" customHeight="1" x14ac:dyDescent="0.55000000000000004">
      <c r="A25" s="7" t="s">
        <v>173</v>
      </c>
      <c r="B25" s="7"/>
      <c r="C25" s="7"/>
      <c r="D25" s="7"/>
      <c r="E25" s="7"/>
      <c r="F25" s="7"/>
    </row>
    <row r="26" spans="1:6" ht="30.75" customHeight="1" x14ac:dyDescent="0.55000000000000004">
      <c r="A26" s="7" t="s">
        <v>174</v>
      </c>
      <c r="B26" s="7"/>
      <c r="C26" s="7"/>
      <c r="D26" s="7"/>
      <c r="E26" s="7"/>
      <c r="F26" s="7"/>
    </row>
  </sheetData>
  <mergeCells count="36">
    <mergeCell ref="A24:F24"/>
    <mergeCell ref="A25:F25"/>
    <mergeCell ref="A26:F26"/>
    <mergeCell ref="A20:C20"/>
    <mergeCell ref="D20:F20"/>
    <mergeCell ref="A21:C21"/>
    <mergeCell ref="D21:F21"/>
    <mergeCell ref="A23:F23"/>
    <mergeCell ref="A17:C17"/>
    <mergeCell ref="D17:F17"/>
    <mergeCell ref="A18:C18"/>
    <mergeCell ref="D18:F18"/>
    <mergeCell ref="A19:C19"/>
    <mergeCell ref="D19:F19"/>
    <mergeCell ref="A13:B13"/>
    <mergeCell ref="E13:F13"/>
    <mergeCell ref="A14:B14"/>
    <mergeCell ref="E14:F14"/>
    <mergeCell ref="A15:B15"/>
    <mergeCell ref="C15:F15"/>
    <mergeCell ref="A9:B9"/>
    <mergeCell ref="E9:F9"/>
    <mergeCell ref="A11:F11"/>
    <mergeCell ref="A12:B12"/>
    <mergeCell ref="E12:F12"/>
    <mergeCell ref="A6:B6"/>
    <mergeCell ref="E6:F6"/>
    <mergeCell ref="A7:B7"/>
    <mergeCell ref="E7:F7"/>
    <mergeCell ref="A8:B8"/>
    <mergeCell ref="E8:F8"/>
    <mergeCell ref="A1:B3"/>
    <mergeCell ref="C1:F1"/>
    <mergeCell ref="C2:F2"/>
    <mergeCell ref="C3:F3"/>
    <mergeCell ref="A5:F5"/>
  </mergeCells>
  <dataValidations count="1">
    <dataValidation type="list" allowBlank="1" sqref="C7" xr:uid="{00000000-0002-0000-0200-000000000000}">
      <formula1>"Basic salary,Position,Basic salary and position"</formula1>
      <formula2>0</formula2>
    </dataValidation>
  </dataValidations>
  <pageMargins left="0.5" right="0.5" top="1" bottom="1" header="0.511811023622047" footer="0.5"/>
  <pageSetup paperSize="9" fitToHeight="0" orientation="portrait" horizontalDpi="300" verticalDpi="300"/>
  <headerFooter>
    <oddFooter>&amp;LPY-02 | Crest Point Consulting Group&amp;CPage &amp;P of &amp;N&amp;RStrictly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F39"/>
  <sheetViews>
    <sheetView showGridLines="0" zoomScaleNormal="100" workbookViewId="0">
      <selection sqref="A1:B3"/>
    </sheetView>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104</v>
      </c>
      <c r="B1" s="6"/>
      <c r="C1" s="5" t="s">
        <v>0</v>
      </c>
      <c r="D1" s="5"/>
      <c r="E1" s="5"/>
      <c r="F1" s="5"/>
    </row>
    <row r="2" spans="1:6" ht="21.75" customHeight="1" x14ac:dyDescent="0.55000000000000004">
      <c r="A2" s="6"/>
      <c r="B2" s="6"/>
      <c r="C2" s="4" t="s">
        <v>175</v>
      </c>
      <c r="D2" s="4"/>
      <c r="E2" s="4"/>
      <c r="F2" s="4"/>
    </row>
    <row r="3" spans="1:6" ht="30.75" customHeight="1" x14ac:dyDescent="0.55000000000000004">
      <c r="A3" s="6"/>
      <c r="B3" s="6"/>
      <c r="C3" s="3" t="s">
        <v>176</v>
      </c>
      <c r="D3" s="3"/>
      <c r="E3" s="3"/>
      <c r="F3" s="3"/>
    </row>
    <row r="5" spans="1:6" ht="18" customHeight="1" x14ac:dyDescent="0.55000000000000004">
      <c r="A5" s="2" t="s">
        <v>177</v>
      </c>
      <c r="B5" s="2"/>
      <c r="C5" s="2"/>
      <c r="D5" s="2"/>
      <c r="E5" s="2"/>
      <c r="F5" s="2"/>
    </row>
    <row r="6" spans="1:6" ht="19.5" customHeight="1" x14ac:dyDescent="0.55000000000000004">
      <c r="A6" s="9" t="s">
        <v>178</v>
      </c>
      <c r="B6" s="9"/>
      <c r="C6" s="23" t="s">
        <v>179</v>
      </c>
      <c r="D6" s="13" t="s">
        <v>180</v>
      </c>
      <c r="E6" s="55">
        <v>46300</v>
      </c>
      <c r="F6" s="55"/>
    </row>
    <row r="7" spans="1:6" ht="19.5" customHeight="1" x14ac:dyDescent="0.55000000000000004">
      <c r="A7" s="9" t="s">
        <v>155</v>
      </c>
      <c r="B7" s="9"/>
      <c r="C7" s="24" t="s">
        <v>113</v>
      </c>
      <c r="D7" s="13" t="s">
        <v>108</v>
      </c>
      <c r="E7" s="1" t="s">
        <v>109</v>
      </c>
      <c r="F7" s="1"/>
    </row>
    <row r="8" spans="1:6" ht="19.5" customHeight="1" x14ac:dyDescent="0.55000000000000004">
      <c r="A8" s="9" t="s">
        <v>118</v>
      </c>
      <c r="B8" s="9"/>
      <c r="C8" s="23" t="s">
        <v>119</v>
      </c>
      <c r="D8" s="13" t="s">
        <v>120</v>
      </c>
      <c r="E8" s="51" t="s">
        <v>121</v>
      </c>
      <c r="F8" s="51"/>
    </row>
    <row r="9" spans="1:6" ht="30.75" customHeight="1" x14ac:dyDescent="0.55000000000000004">
      <c r="A9" s="9" t="s">
        <v>181</v>
      </c>
      <c r="B9" s="9"/>
      <c r="C9" s="24" t="s">
        <v>182</v>
      </c>
      <c r="D9" s="13" t="s">
        <v>183</v>
      </c>
      <c r="E9" s="1" t="s">
        <v>184</v>
      </c>
      <c r="F9" s="1"/>
    </row>
    <row r="10" spans="1:6" ht="19.5" customHeight="1" x14ac:dyDescent="0.55000000000000004">
      <c r="A10" s="9" t="s">
        <v>185</v>
      </c>
      <c r="B10" s="9"/>
      <c r="C10" s="25">
        <v>46313</v>
      </c>
      <c r="D10" s="13" t="s">
        <v>186</v>
      </c>
      <c r="E10" s="52">
        <v>46317</v>
      </c>
      <c r="F10" s="52"/>
    </row>
    <row r="11" spans="1:6" ht="30.75" customHeight="1" x14ac:dyDescent="0.55000000000000004">
      <c r="A11" s="9" t="s">
        <v>187</v>
      </c>
      <c r="B11" s="9"/>
      <c r="C11" s="24">
        <v>5</v>
      </c>
      <c r="D11" s="13" t="s">
        <v>136</v>
      </c>
      <c r="E11" s="51" t="s">
        <v>188</v>
      </c>
      <c r="F11" s="51"/>
    </row>
    <row r="12" spans="1:6" ht="18" customHeight="1" x14ac:dyDescent="0.55000000000000004">
      <c r="A12" s="2" t="s">
        <v>189</v>
      </c>
      <c r="B12" s="2"/>
      <c r="C12" s="2"/>
      <c r="D12" s="2"/>
      <c r="E12" s="2"/>
      <c r="F12" s="2"/>
    </row>
    <row r="13" spans="1:6" ht="30.75" customHeight="1" x14ac:dyDescent="0.55000000000000004">
      <c r="A13" s="9" t="s">
        <v>190</v>
      </c>
      <c r="B13" s="9"/>
      <c r="C13" s="23">
        <f>IF(C9="Other / Exceptional Leave","As approved",INDEX(C23:C26,MATCH(C9,A23:A26,0)))</f>
        <v>20</v>
      </c>
      <c r="D13" s="13" t="s">
        <v>191</v>
      </c>
      <c r="E13" s="51">
        <v>8</v>
      </c>
      <c r="F13" s="51"/>
    </row>
    <row r="14" spans="1:6" ht="30.75" customHeight="1" x14ac:dyDescent="0.55000000000000004">
      <c r="A14" s="9" t="s">
        <v>192</v>
      </c>
      <c r="B14" s="9"/>
      <c r="C14" s="23">
        <f>IF(C9="Other / Exceptional Leave","n/a",C13-E13)</f>
        <v>12</v>
      </c>
      <c r="D14" s="13" t="s">
        <v>193</v>
      </c>
      <c r="E14" s="51">
        <f>C11</f>
        <v>5</v>
      </c>
      <c r="F14" s="51"/>
    </row>
    <row r="15" spans="1:6" ht="18" customHeight="1" x14ac:dyDescent="0.55000000000000004">
      <c r="A15" s="2" t="s">
        <v>194</v>
      </c>
      <c r="B15" s="2"/>
      <c r="C15" s="2"/>
      <c r="D15" s="2"/>
      <c r="E15" s="2"/>
      <c r="F15" s="2"/>
    </row>
    <row r="16" spans="1:6" ht="33.75" customHeight="1" x14ac:dyDescent="0.55000000000000004">
      <c r="A16" s="9" t="s">
        <v>195</v>
      </c>
      <c r="B16" s="9"/>
      <c r="C16" s="1"/>
      <c r="D16" s="1"/>
      <c r="E16" s="1"/>
      <c r="F16" s="1"/>
    </row>
    <row r="17" spans="1:6" ht="43.5" customHeight="1" x14ac:dyDescent="0.55000000000000004">
      <c r="A17" s="9" t="s">
        <v>196</v>
      </c>
      <c r="B17" s="9"/>
      <c r="C17" s="24"/>
      <c r="D17" s="13" t="s">
        <v>197</v>
      </c>
      <c r="E17" s="1"/>
      <c r="F17" s="1"/>
    </row>
    <row r="18" spans="1:6" ht="18" customHeight="1" x14ac:dyDescent="0.55000000000000004">
      <c r="A18" s="2" t="s">
        <v>198</v>
      </c>
      <c r="B18" s="2"/>
      <c r="C18" s="2"/>
      <c r="D18" s="2"/>
      <c r="E18" s="2"/>
      <c r="F18" s="2"/>
    </row>
    <row r="19" spans="1:6" ht="33.75" customHeight="1" x14ac:dyDescent="0.55000000000000004">
      <c r="A19" s="9" t="s">
        <v>199</v>
      </c>
      <c r="B19" s="9"/>
      <c r="C19" s="51" t="str">
        <f>IF(E8&lt;&gt;"Permanent","BLOCKED - leave management applies to Permanent employees only",IF(C9="Other / Exceptional Leave",IF(AND(C16&lt;&gt;"",C17&lt;&gt;""),"ACCEPTED - standard balance limit bypassed; reflected in the timesheet","BLOCKED - written justification and Director-level approval confirmation are mandatory"),IF(C11&lt;=C14,"ACCEPTED - balance updated in real time; reflected in the timesheet","BLOCKED - insufficient balance; use Other / Exceptional Leave")))</f>
        <v>ACCEPTED - balance updated in real time; reflected in the timesheet</v>
      </c>
      <c r="D19" s="51"/>
      <c r="E19" s="51"/>
      <c r="F19" s="51"/>
    </row>
    <row r="21" spans="1:6" ht="18" customHeight="1" x14ac:dyDescent="0.55000000000000004">
      <c r="A21" s="2" t="s">
        <v>200</v>
      </c>
      <c r="B21" s="2"/>
      <c r="C21" s="2"/>
      <c r="D21" s="56" t="s">
        <v>201</v>
      </c>
      <c r="E21" s="56"/>
      <c r="F21" s="56"/>
    </row>
    <row r="22" spans="1:6" ht="18" customHeight="1" x14ac:dyDescent="0.55000000000000004">
      <c r="A22" s="9" t="s">
        <v>181</v>
      </c>
      <c r="B22" s="9"/>
      <c r="C22" s="9"/>
      <c r="D22" s="57" t="s">
        <v>202</v>
      </c>
      <c r="E22" s="57"/>
      <c r="F22" s="57"/>
    </row>
    <row r="23" spans="1:6" ht="30.75" customHeight="1" x14ac:dyDescent="0.55000000000000004">
      <c r="A23" s="24" t="s">
        <v>182</v>
      </c>
      <c r="B23" s="15"/>
      <c r="C23" s="14">
        <v>20</v>
      </c>
      <c r="D23" s="8"/>
      <c r="E23" s="8"/>
      <c r="F23" s="8"/>
    </row>
    <row r="24" spans="1:6" ht="30.75" customHeight="1" x14ac:dyDescent="0.55000000000000004">
      <c r="A24" s="24" t="s">
        <v>203</v>
      </c>
      <c r="B24" s="15"/>
      <c r="C24" s="14">
        <v>10</v>
      </c>
      <c r="D24" s="8"/>
      <c r="E24" s="8"/>
      <c r="F24" s="8"/>
    </row>
    <row r="25" spans="1:6" ht="30.75" customHeight="1" x14ac:dyDescent="0.55000000000000004">
      <c r="A25" s="24" t="s">
        <v>204</v>
      </c>
      <c r="B25" s="15"/>
      <c r="C25" s="14">
        <v>20</v>
      </c>
      <c r="D25" s="8"/>
      <c r="E25" s="8"/>
      <c r="F25" s="8"/>
    </row>
    <row r="26" spans="1:6" ht="55.5" customHeight="1" x14ac:dyDescent="0.55000000000000004">
      <c r="A26" s="24" t="s">
        <v>205</v>
      </c>
      <c r="B26" s="15"/>
      <c r="C26" s="14" t="s">
        <v>206</v>
      </c>
      <c r="D26" s="8"/>
      <c r="E26" s="8"/>
      <c r="F26" s="8"/>
    </row>
    <row r="27" spans="1:6" ht="30.75" customHeight="1" x14ac:dyDescent="0.55000000000000004">
      <c r="A27" s="13" t="s">
        <v>207</v>
      </c>
      <c r="B27" s="34"/>
      <c r="C27" s="33">
        <f>SUM(C23:C26)</f>
        <v>50</v>
      </c>
      <c r="D27" s="58" t="s">
        <v>208</v>
      </c>
      <c r="E27" s="58"/>
      <c r="F27" s="58"/>
    </row>
    <row r="29" spans="1:6" ht="30.75" customHeight="1" x14ac:dyDescent="0.55000000000000004">
      <c r="A29" s="49" t="s">
        <v>209</v>
      </c>
      <c r="B29" s="49"/>
      <c r="C29" s="49"/>
      <c r="D29" s="49" t="s">
        <v>210</v>
      </c>
      <c r="E29" s="49"/>
      <c r="F29" s="49"/>
    </row>
    <row r="30" spans="1:6" ht="19.5" customHeight="1" x14ac:dyDescent="0.55000000000000004">
      <c r="A30" s="8" t="s">
        <v>143</v>
      </c>
      <c r="B30" s="8"/>
      <c r="C30" s="8"/>
      <c r="D30" s="8" t="s">
        <v>143</v>
      </c>
      <c r="E30" s="8"/>
      <c r="F30" s="8"/>
    </row>
    <row r="31" spans="1:6" ht="19.5" customHeight="1" x14ac:dyDescent="0.55000000000000004">
      <c r="A31" s="8" t="s">
        <v>144</v>
      </c>
      <c r="B31" s="8"/>
      <c r="C31" s="8"/>
      <c r="D31" s="8" t="s">
        <v>144</v>
      </c>
      <c r="E31" s="8"/>
      <c r="F31" s="8"/>
    </row>
    <row r="32" spans="1:6" ht="43.5" customHeight="1" x14ac:dyDescent="0.55000000000000004">
      <c r="A32" s="50" t="s">
        <v>145</v>
      </c>
      <c r="B32" s="50"/>
      <c r="C32" s="50"/>
      <c r="D32" s="50" t="s">
        <v>145</v>
      </c>
      <c r="E32" s="50"/>
      <c r="F32" s="50"/>
    </row>
    <row r="33" spans="1:6" ht="19.5" customHeight="1" x14ac:dyDescent="0.55000000000000004">
      <c r="A33" s="8" t="s">
        <v>146</v>
      </c>
      <c r="B33" s="8"/>
      <c r="C33" s="8"/>
      <c r="D33" s="8" t="s">
        <v>146</v>
      </c>
      <c r="E33" s="8"/>
      <c r="F33" s="8"/>
    </row>
    <row r="35" spans="1:6" ht="18" customHeight="1" x14ac:dyDescent="0.55000000000000004">
      <c r="A35" s="9" t="s">
        <v>147</v>
      </c>
      <c r="B35" s="9"/>
      <c r="C35" s="9"/>
      <c r="D35" s="9"/>
      <c r="E35" s="9"/>
      <c r="F35" s="9"/>
    </row>
    <row r="36" spans="1:6" ht="30.75" customHeight="1" x14ac:dyDescent="0.55000000000000004">
      <c r="A36" s="7" t="s">
        <v>211</v>
      </c>
      <c r="B36" s="7"/>
      <c r="C36" s="7"/>
      <c r="D36" s="7"/>
      <c r="E36" s="7"/>
      <c r="F36" s="7"/>
    </row>
    <row r="37" spans="1:6" ht="30.75" customHeight="1" x14ac:dyDescent="0.55000000000000004">
      <c r="A37" s="7" t="s">
        <v>212</v>
      </c>
      <c r="B37" s="7"/>
      <c r="C37" s="7"/>
      <c r="D37" s="7"/>
      <c r="E37" s="7"/>
      <c r="F37" s="7"/>
    </row>
    <row r="38" spans="1:6" ht="30" customHeight="1" x14ac:dyDescent="0.55000000000000004">
      <c r="A38" s="7" t="s">
        <v>213</v>
      </c>
      <c r="B38" s="7"/>
      <c r="C38" s="7"/>
      <c r="D38" s="7"/>
      <c r="E38" s="7"/>
      <c r="F38" s="7"/>
    </row>
    <row r="39" spans="1:6" ht="43.5" customHeight="1" x14ac:dyDescent="0.55000000000000004">
      <c r="A39" s="7" t="s">
        <v>214</v>
      </c>
      <c r="B39" s="7"/>
      <c r="C39" s="7"/>
      <c r="D39" s="7"/>
      <c r="E39" s="7"/>
      <c r="F39" s="7"/>
    </row>
  </sheetData>
  <mergeCells count="54">
    <mergeCell ref="A35:F35"/>
    <mergeCell ref="A36:F36"/>
    <mergeCell ref="A37:F37"/>
    <mergeCell ref="A38:F38"/>
    <mergeCell ref="A39:F39"/>
    <mergeCell ref="A31:C31"/>
    <mergeCell ref="D31:F31"/>
    <mergeCell ref="A32:C32"/>
    <mergeCell ref="D32:F32"/>
    <mergeCell ref="A33:C33"/>
    <mergeCell ref="D33:F33"/>
    <mergeCell ref="D26:F26"/>
    <mergeCell ref="D27:F27"/>
    <mergeCell ref="A29:C29"/>
    <mergeCell ref="D29:F29"/>
    <mergeCell ref="A30:C30"/>
    <mergeCell ref="D30:F30"/>
    <mergeCell ref="A22:C22"/>
    <mergeCell ref="D22:F22"/>
    <mergeCell ref="D23:F23"/>
    <mergeCell ref="D24:F24"/>
    <mergeCell ref="D25:F25"/>
    <mergeCell ref="A18:F18"/>
    <mergeCell ref="A19:B19"/>
    <mergeCell ref="C19:F19"/>
    <mergeCell ref="A21:C21"/>
    <mergeCell ref="D21:F21"/>
    <mergeCell ref="A15:F15"/>
    <mergeCell ref="A16:B16"/>
    <mergeCell ref="C16:F16"/>
    <mergeCell ref="A17:B17"/>
    <mergeCell ref="E17:F17"/>
    <mergeCell ref="A12:F12"/>
    <mergeCell ref="A13:B13"/>
    <mergeCell ref="E13:F13"/>
    <mergeCell ref="A14:B14"/>
    <mergeCell ref="E14:F14"/>
    <mergeCell ref="A9:B9"/>
    <mergeCell ref="E9:F9"/>
    <mergeCell ref="A10:B10"/>
    <mergeCell ref="E10:F10"/>
    <mergeCell ref="A11:B11"/>
    <mergeCell ref="E11:F11"/>
    <mergeCell ref="A6:B6"/>
    <mergeCell ref="E6:F6"/>
    <mergeCell ref="A7:B7"/>
    <mergeCell ref="E7:F7"/>
    <mergeCell ref="A8:B8"/>
    <mergeCell ref="E8:F8"/>
    <mergeCell ref="A1:B3"/>
    <mergeCell ref="C1:F1"/>
    <mergeCell ref="C2:F2"/>
    <mergeCell ref="C3:F3"/>
    <mergeCell ref="A5:F5"/>
  </mergeCells>
  <dataValidations count="1">
    <dataValidation type="list" allowBlank="1" sqref="C9" xr:uid="{00000000-0002-0000-0300-000000000000}">
      <formula1>"Annual Leave,Urgency Leave,Sick Leave,Other / Exceptional Leave"</formula1>
      <formula2>0</formula2>
    </dataValidation>
  </dataValidations>
  <pageMargins left="0.5" right="0.5" top="1" bottom="1" header="0.511811023622047" footer="0.5"/>
  <pageSetup paperSize="9" fitToHeight="0" orientation="portrait" horizontalDpi="300" verticalDpi="300"/>
  <headerFooter>
    <oddFooter>&amp;LPY-03 | Crest Point Consulting Group&amp;CPage &amp;P of &amp;N&amp;RStrictly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F7F7F"/>
    <pageSetUpPr fitToPage="1"/>
  </sheetPr>
  <dimension ref="A1:O22"/>
  <sheetViews>
    <sheetView showGridLines="0" zoomScaleNormal="100" workbookViewId="0">
      <selection activeCell="A11" sqref="A11"/>
    </sheetView>
  </sheetViews>
  <sheetFormatPr defaultColWidth="8.68359375" defaultRowHeight="14.4" x14ac:dyDescent="0.55000000000000004"/>
  <cols>
    <col min="1" max="1" width="11" customWidth="1"/>
    <col min="2" max="2" width="24" customWidth="1"/>
    <col min="3" max="3" width="16" customWidth="1"/>
    <col min="4" max="12" width="8" customWidth="1"/>
    <col min="13" max="13" width="10" customWidth="1"/>
    <col min="14" max="14" width="11" customWidth="1"/>
    <col min="15" max="15" width="13" customWidth="1"/>
  </cols>
  <sheetData>
    <row r="1" spans="1:15" ht="30.75" customHeight="1" x14ac:dyDescent="0.55000000000000004">
      <c r="A1" s="6" t="s">
        <v>104</v>
      </c>
      <c r="B1" s="6"/>
      <c r="C1" s="5" t="s">
        <v>0</v>
      </c>
      <c r="D1" s="5"/>
      <c r="E1" s="5"/>
      <c r="F1" s="5"/>
      <c r="G1" s="5"/>
      <c r="H1" s="5"/>
      <c r="I1" s="5"/>
      <c r="J1" s="5"/>
      <c r="K1" s="5"/>
      <c r="L1" s="5"/>
      <c r="M1" s="5"/>
      <c r="N1" s="5"/>
      <c r="O1" s="5"/>
    </row>
    <row r="2" spans="1:15" ht="21.75" customHeight="1" x14ac:dyDescent="0.55000000000000004">
      <c r="A2" s="6"/>
      <c r="B2" s="6"/>
      <c r="C2" s="4" t="s">
        <v>215</v>
      </c>
      <c r="D2" s="4"/>
      <c r="E2" s="4"/>
      <c r="F2" s="4"/>
      <c r="G2" s="4"/>
      <c r="H2" s="4"/>
      <c r="I2" s="4"/>
      <c r="J2" s="4"/>
      <c r="K2" s="4"/>
      <c r="L2" s="4"/>
      <c r="M2" s="4"/>
      <c r="N2" s="4"/>
      <c r="O2" s="4"/>
    </row>
    <row r="3" spans="1:15" ht="21.75" customHeight="1" x14ac:dyDescent="0.55000000000000004">
      <c r="A3" s="6"/>
      <c r="B3" s="6"/>
      <c r="C3" s="3" t="s">
        <v>216</v>
      </c>
      <c r="D3" s="3"/>
      <c r="E3" s="3"/>
      <c r="F3" s="3"/>
      <c r="G3" s="3"/>
      <c r="H3" s="3"/>
      <c r="I3" s="3"/>
      <c r="J3" s="3"/>
      <c r="K3" s="3"/>
      <c r="L3" s="3"/>
      <c r="M3" s="3"/>
      <c r="N3" s="3"/>
      <c r="O3" s="3"/>
    </row>
    <row r="5" spans="1:15" ht="18" customHeight="1" x14ac:dyDescent="0.55000000000000004">
      <c r="A5" s="9" t="s">
        <v>217</v>
      </c>
      <c r="B5" s="9"/>
      <c r="C5" s="1" t="s">
        <v>218</v>
      </c>
      <c r="D5" s="1"/>
      <c r="E5" s="1"/>
      <c r="F5" s="9" t="s">
        <v>219</v>
      </c>
      <c r="G5" s="9"/>
      <c r="H5" s="9"/>
      <c r="I5" s="51" t="s">
        <v>220</v>
      </c>
      <c r="J5" s="51"/>
      <c r="K5" s="51"/>
      <c r="L5" s="51"/>
      <c r="M5" s="51"/>
      <c r="N5" s="51"/>
      <c r="O5" s="51"/>
    </row>
    <row r="7" spans="1:15" ht="30.75" customHeight="1" x14ac:dyDescent="0.55000000000000004">
      <c r="A7" s="59"/>
      <c r="B7" s="59"/>
      <c r="C7" s="59"/>
      <c r="D7" s="49" t="s">
        <v>221</v>
      </c>
      <c r="E7" s="49"/>
      <c r="F7" s="49"/>
      <c r="G7" s="49" t="s">
        <v>222</v>
      </c>
      <c r="H7" s="49"/>
      <c r="I7" s="49"/>
      <c r="J7" s="49" t="s">
        <v>223</v>
      </c>
      <c r="K7" s="49"/>
      <c r="L7" s="49"/>
      <c r="M7" s="56" t="s">
        <v>224</v>
      </c>
      <c r="N7" s="56"/>
      <c r="O7" s="56"/>
    </row>
    <row r="8" spans="1:15" ht="48" customHeight="1" x14ac:dyDescent="0.55000000000000004">
      <c r="A8" s="19" t="s">
        <v>108</v>
      </c>
      <c r="B8" s="19" t="s">
        <v>155</v>
      </c>
      <c r="C8" s="19" t="s">
        <v>118</v>
      </c>
      <c r="D8" s="19" t="s">
        <v>225</v>
      </c>
      <c r="E8" s="19" t="s">
        <v>226</v>
      </c>
      <c r="F8" s="19" t="s">
        <v>227</v>
      </c>
      <c r="G8" s="19" t="s">
        <v>225</v>
      </c>
      <c r="H8" s="19" t="s">
        <v>226</v>
      </c>
      <c r="I8" s="19" t="s">
        <v>227</v>
      </c>
      <c r="J8" s="19" t="s">
        <v>225</v>
      </c>
      <c r="K8" s="19" t="s">
        <v>226</v>
      </c>
      <c r="L8" s="19" t="s">
        <v>227</v>
      </c>
      <c r="M8" s="19" t="s">
        <v>228</v>
      </c>
      <c r="N8" s="19" t="s">
        <v>229</v>
      </c>
      <c r="O8" s="19" t="s">
        <v>230</v>
      </c>
    </row>
    <row r="9" spans="1:15" ht="19.5" customHeight="1" x14ac:dyDescent="0.55000000000000004">
      <c r="A9" s="24" t="s">
        <v>109</v>
      </c>
      <c r="B9" s="24" t="s">
        <v>113</v>
      </c>
      <c r="C9" s="24" t="s">
        <v>119</v>
      </c>
      <c r="D9" s="24">
        <v>20</v>
      </c>
      <c r="E9" s="24">
        <v>5</v>
      </c>
      <c r="F9" s="23">
        <f t="shared" ref="F9:F18" si="0">IF(D9="","",D9-E9)</f>
        <v>15</v>
      </c>
      <c r="G9" s="24">
        <v>10</v>
      </c>
      <c r="H9" s="24">
        <v>0</v>
      </c>
      <c r="I9" s="23">
        <f t="shared" ref="I9:I18" si="1">IF(G9="","",G9-H9)</f>
        <v>10</v>
      </c>
      <c r="J9" s="24">
        <v>20</v>
      </c>
      <c r="K9" s="24">
        <v>2</v>
      </c>
      <c r="L9" s="23">
        <f t="shared" ref="L9:L18" si="2">IF(J9="","",J9-K9)</f>
        <v>18</v>
      </c>
      <c r="M9" s="24">
        <v>0</v>
      </c>
      <c r="N9" s="23">
        <f t="shared" ref="N9:N18" si="3">IF(A9="","",E9+H9+K9+M9)</f>
        <v>7</v>
      </c>
      <c r="O9" s="23">
        <f t="shared" ref="O9:O18" si="4">IF(A9="","",F9+I9+L9)</f>
        <v>43</v>
      </c>
    </row>
    <row r="10" spans="1:15" ht="19.5" customHeight="1" x14ac:dyDescent="0.55000000000000004">
      <c r="A10" s="24" t="s">
        <v>231</v>
      </c>
      <c r="B10" s="24" t="s">
        <v>232</v>
      </c>
      <c r="C10" s="24" t="s">
        <v>233</v>
      </c>
      <c r="D10" s="24">
        <v>20</v>
      </c>
      <c r="E10" s="24">
        <v>0</v>
      </c>
      <c r="F10" s="23">
        <f t="shared" si="0"/>
        <v>20</v>
      </c>
      <c r="G10" s="24">
        <v>10</v>
      </c>
      <c r="H10" s="24">
        <v>1</v>
      </c>
      <c r="I10" s="23">
        <f t="shared" si="1"/>
        <v>9</v>
      </c>
      <c r="J10" s="24">
        <v>20</v>
      </c>
      <c r="K10" s="24">
        <v>0</v>
      </c>
      <c r="L10" s="23">
        <f t="shared" si="2"/>
        <v>20</v>
      </c>
      <c r="M10" s="24">
        <v>0</v>
      </c>
      <c r="N10" s="23">
        <f t="shared" si="3"/>
        <v>1</v>
      </c>
      <c r="O10" s="23">
        <f t="shared" si="4"/>
        <v>49</v>
      </c>
    </row>
    <row r="11" spans="1:15" ht="19.5" customHeight="1" x14ac:dyDescent="0.55000000000000004">
      <c r="A11" s="24" t="s">
        <v>234</v>
      </c>
      <c r="B11" s="24" t="s">
        <v>235</v>
      </c>
      <c r="C11" s="24" t="s">
        <v>236</v>
      </c>
      <c r="D11" s="24">
        <v>20</v>
      </c>
      <c r="E11" s="24">
        <v>12</v>
      </c>
      <c r="F11" s="23">
        <f t="shared" si="0"/>
        <v>8</v>
      </c>
      <c r="G11" s="24">
        <v>10</v>
      </c>
      <c r="H11" s="24">
        <v>0</v>
      </c>
      <c r="I11" s="23">
        <f t="shared" si="1"/>
        <v>10</v>
      </c>
      <c r="J11" s="24">
        <v>20</v>
      </c>
      <c r="K11" s="24">
        <v>6</v>
      </c>
      <c r="L11" s="23">
        <f t="shared" si="2"/>
        <v>14</v>
      </c>
      <c r="M11" s="24">
        <v>3</v>
      </c>
      <c r="N11" s="23">
        <f t="shared" si="3"/>
        <v>21</v>
      </c>
      <c r="O11" s="23">
        <f t="shared" si="4"/>
        <v>32</v>
      </c>
    </row>
    <row r="12" spans="1:15" ht="19.5" customHeight="1" x14ac:dyDescent="0.55000000000000004">
      <c r="A12" s="15"/>
      <c r="B12" s="15"/>
      <c r="C12" s="15"/>
      <c r="D12" s="15"/>
      <c r="E12" s="15"/>
      <c r="F12" s="23" t="str">
        <f t="shared" si="0"/>
        <v/>
      </c>
      <c r="G12" s="15"/>
      <c r="H12" s="15"/>
      <c r="I12" s="23" t="str">
        <f t="shared" si="1"/>
        <v/>
      </c>
      <c r="J12" s="15"/>
      <c r="K12" s="15"/>
      <c r="L12" s="23" t="str">
        <f t="shared" si="2"/>
        <v/>
      </c>
      <c r="M12" s="15"/>
      <c r="N12" s="23" t="str">
        <f t="shared" si="3"/>
        <v/>
      </c>
      <c r="O12" s="23" t="str">
        <f t="shared" si="4"/>
        <v/>
      </c>
    </row>
    <row r="13" spans="1:15" ht="19.5" customHeight="1" x14ac:dyDescent="0.55000000000000004">
      <c r="A13" s="15"/>
      <c r="B13" s="15"/>
      <c r="C13" s="15"/>
      <c r="D13" s="15"/>
      <c r="E13" s="15"/>
      <c r="F13" s="23" t="str">
        <f t="shared" si="0"/>
        <v/>
      </c>
      <c r="G13" s="15"/>
      <c r="H13" s="15"/>
      <c r="I13" s="23" t="str">
        <f t="shared" si="1"/>
        <v/>
      </c>
      <c r="J13" s="15"/>
      <c r="K13" s="15"/>
      <c r="L13" s="23" t="str">
        <f t="shared" si="2"/>
        <v/>
      </c>
      <c r="M13" s="15"/>
      <c r="N13" s="23" t="str">
        <f t="shared" si="3"/>
        <v/>
      </c>
      <c r="O13" s="23" t="str">
        <f t="shared" si="4"/>
        <v/>
      </c>
    </row>
    <row r="14" spans="1:15" ht="19.5" customHeight="1" x14ac:dyDescent="0.55000000000000004">
      <c r="A14" s="15"/>
      <c r="B14" s="15"/>
      <c r="C14" s="15"/>
      <c r="D14" s="15"/>
      <c r="E14" s="15"/>
      <c r="F14" s="23" t="str">
        <f t="shared" si="0"/>
        <v/>
      </c>
      <c r="G14" s="15"/>
      <c r="H14" s="15"/>
      <c r="I14" s="23" t="str">
        <f t="shared" si="1"/>
        <v/>
      </c>
      <c r="J14" s="15"/>
      <c r="K14" s="15"/>
      <c r="L14" s="23" t="str">
        <f t="shared" si="2"/>
        <v/>
      </c>
      <c r="M14" s="15"/>
      <c r="N14" s="23" t="str">
        <f t="shared" si="3"/>
        <v/>
      </c>
      <c r="O14" s="23" t="str">
        <f t="shared" si="4"/>
        <v/>
      </c>
    </row>
    <row r="15" spans="1:15" ht="19.5" customHeight="1" x14ac:dyDescent="0.55000000000000004">
      <c r="A15" s="15"/>
      <c r="B15" s="15"/>
      <c r="C15" s="15"/>
      <c r="D15" s="15"/>
      <c r="E15" s="15"/>
      <c r="F15" s="23" t="str">
        <f t="shared" si="0"/>
        <v/>
      </c>
      <c r="G15" s="15"/>
      <c r="H15" s="15"/>
      <c r="I15" s="23" t="str">
        <f t="shared" si="1"/>
        <v/>
      </c>
      <c r="J15" s="15"/>
      <c r="K15" s="15"/>
      <c r="L15" s="23" t="str">
        <f t="shared" si="2"/>
        <v/>
      </c>
      <c r="M15" s="15"/>
      <c r="N15" s="23" t="str">
        <f t="shared" si="3"/>
        <v/>
      </c>
      <c r="O15" s="23" t="str">
        <f t="shared" si="4"/>
        <v/>
      </c>
    </row>
    <row r="16" spans="1:15" ht="19.5" customHeight="1" x14ac:dyDescent="0.55000000000000004">
      <c r="A16" s="15"/>
      <c r="B16" s="15"/>
      <c r="C16" s="15"/>
      <c r="D16" s="15"/>
      <c r="E16" s="15"/>
      <c r="F16" s="23" t="str">
        <f t="shared" si="0"/>
        <v/>
      </c>
      <c r="G16" s="15"/>
      <c r="H16" s="15"/>
      <c r="I16" s="23" t="str">
        <f t="shared" si="1"/>
        <v/>
      </c>
      <c r="J16" s="15"/>
      <c r="K16" s="15"/>
      <c r="L16" s="23" t="str">
        <f t="shared" si="2"/>
        <v/>
      </c>
      <c r="M16" s="15"/>
      <c r="N16" s="23" t="str">
        <f t="shared" si="3"/>
        <v/>
      </c>
      <c r="O16" s="23" t="str">
        <f t="shared" si="4"/>
        <v/>
      </c>
    </row>
    <row r="17" spans="1:15" ht="19.5" customHeight="1" x14ac:dyDescent="0.55000000000000004">
      <c r="A17" s="15"/>
      <c r="B17" s="15"/>
      <c r="C17" s="15"/>
      <c r="D17" s="15"/>
      <c r="E17" s="15"/>
      <c r="F17" s="23" t="str">
        <f t="shared" si="0"/>
        <v/>
      </c>
      <c r="G17" s="15"/>
      <c r="H17" s="15"/>
      <c r="I17" s="23" t="str">
        <f t="shared" si="1"/>
        <v/>
      </c>
      <c r="J17" s="15"/>
      <c r="K17" s="15"/>
      <c r="L17" s="23" t="str">
        <f t="shared" si="2"/>
        <v/>
      </c>
      <c r="M17" s="15"/>
      <c r="N17" s="23" t="str">
        <f t="shared" si="3"/>
        <v/>
      </c>
      <c r="O17" s="23" t="str">
        <f t="shared" si="4"/>
        <v/>
      </c>
    </row>
    <row r="18" spans="1:15" ht="19.5" customHeight="1" x14ac:dyDescent="0.55000000000000004">
      <c r="A18" s="15"/>
      <c r="B18" s="15"/>
      <c r="C18" s="15"/>
      <c r="D18" s="15"/>
      <c r="E18" s="15"/>
      <c r="F18" s="23" t="str">
        <f t="shared" si="0"/>
        <v/>
      </c>
      <c r="G18" s="15"/>
      <c r="H18" s="15"/>
      <c r="I18" s="23" t="str">
        <f t="shared" si="1"/>
        <v/>
      </c>
      <c r="J18" s="15"/>
      <c r="K18" s="15"/>
      <c r="L18" s="23" t="str">
        <f t="shared" si="2"/>
        <v/>
      </c>
      <c r="M18" s="15"/>
      <c r="N18" s="23" t="str">
        <f t="shared" si="3"/>
        <v/>
      </c>
      <c r="O18" s="23" t="str">
        <f t="shared" si="4"/>
        <v/>
      </c>
    </row>
    <row r="20" spans="1:15" ht="18" customHeight="1" x14ac:dyDescent="0.55000000000000004">
      <c r="A20" s="9" t="s">
        <v>147</v>
      </c>
      <c r="B20" s="9"/>
      <c r="C20" s="9"/>
      <c r="D20" s="9"/>
      <c r="E20" s="9"/>
      <c r="F20" s="9"/>
      <c r="G20" s="9"/>
      <c r="H20" s="9"/>
      <c r="I20" s="9"/>
      <c r="J20" s="9"/>
      <c r="K20" s="9"/>
      <c r="L20" s="9"/>
      <c r="M20" s="9"/>
      <c r="N20" s="9"/>
      <c r="O20" s="9"/>
    </row>
    <row r="21" spans="1:15" ht="30.75" customHeight="1" x14ac:dyDescent="0.55000000000000004">
      <c r="A21" s="7" t="s">
        <v>237</v>
      </c>
      <c r="B21" s="7"/>
      <c r="C21" s="7"/>
      <c r="D21" s="7"/>
      <c r="E21" s="7"/>
      <c r="F21" s="7"/>
      <c r="G21" s="7"/>
      <c r="H21" s="7"/>
      <c r="I21" s="7"/>
      <c r="J21" s="7"/>
      <c r="K21" s="7"/>
      <c r="L21" s="7"/>
      <c r="M21" s="7"/>
      <c r="N21" s="7"/>
      <c r="O21" s="7"/>
    </row>
    <row r="22" spans="1:15" ht="30.75" customHeight="1" x14ac:dyDescent="0.55000000000000004">
      <c r="A22" s="7" t="s">
        <v>238</v>
      </c>
      <c r="B22" s="7"/>
      <c r="C22" s="7"/>
      <c r="D22" s="7"/>
      <c r="E22" s="7"/>
      <c r="F22" s="7"/>
      <c r="G22" s="7"/>
      <c r="H22" s="7"/>
      <c r="I22" s="7"/>
      <c r="J22" s="7"/>
      <c r="K22" s="7"/>
      <c r="L22" s="7"/>
      <c r="M22" s="7"/>
      <c r="N22" s="7"/>
      <c r="O22" s="7"/>
    </row>
  </sheetData>
  <mergeCells count="16">
    <mergeCell ref="A20:O20"/>
    <mergeCell ref="A21:O21"/>
    <mergeCell ref="A22:O22"/>
    <mergeCell ref="A7:C7"/>
    <mergeCell ref="D7:F7"/>
    <mergeCell ref="G7:I7"/>
    <mergeCell ref="J7:L7"/>
    <mergeCell ref="M7:O7"/>
    <mergeCell ref="A1:B3"/>
    <mergeCell ref="C1:O1"/>
    <mergeCell ref="C2:O2"/>
    <mergeCell ref="C3:O3"/>
    <mergeCell ref="A5:B5"/>
    <mergeCell ref="C5:E5"/>
    <mergeCell ref="F5:H5"/>
    <mergeCell ref="I5:O5"/>
  </mergeCells>
  <pageMargins left="0.5" right="0.5" top="1" bottom="1" header="0.511811023622047" footer="0.5"/>
  <pageSetup paperSize="9" fitToHeight="0" orientation="landscape" horizontalDpi="300" verticalDpi="300"/>
  <headerFooter>
    <oddFooter>&amp;LPY-04 | Crest Point Consulting Group&amp;CPage &amp;P of &amp;N&amp;RStrictly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F66"/>
  <sheetViews>
    <sheetView showGridLines="0" zoomScaleNormal="100" workbookViewId="0">
      <selection sqref="A1:B3"/>
    </sheetView>
  </sheetViews>
  <sheetFormatPr defaultColWidth="8.68359375" defaultRowHeight="14.4" x14ac:dyDescent="0.55000000000000004"/>
  <cols>
    <col min="1" max="2" width="14" customWidth="1"/>
    <col min="3" max="3" width="22" customWidth="1"/>
    <col min="4" max="5" width="15" customWidth="1"/>
    <col min="6" max="6" width="46" customWidth="1"/>
  </cols>
  <sheetData>
    <row r="1" spans="1:6" ht="30.75" customHeight="1" x14ac:dyDescent="0.55000000000000004">
      <c r="A1" s="6" t="s">
        <v>104</v>
      </c>
      <c r="B1" s="6"/>
      <c r="C1" s="5" t="s">
        <v>0</v>
      </c>
      <c r="D1" s="5"/>
      <c r="E1" s="5"/>
      <c r="F1" s="5"/>
    </row>
    <row r="2" spans="1:6" ht="21.75" customHeight="1" x14ac:dyDescent="0.55000000000000004">
      <c r="A2" s="6"/>
      <c r="B2" s="6"/>
      <c r="C2" s="4" t="s">
        <v>239</v>
      </c>
      <c r="D2" s="4"/>
      <c r="E2" s="4"/>
      <c r="F2" s="4"/>
    </row>
    <row r="3" spans="1:6" ht="30.75" customHeight="1" x14ac:dyDescent="0.55000000000000004">
      <c r="A3" s="6"/>
      <c r="B3" s="6"/>
      <c r="C3" s="3" t="s">
        <v>240</v>
      </c>
      <c r="D3" s="3"/>
      <c r="E3" s="3"/>
      <c r="F3" s="3"/>
    </row>
    <row r="5" spans="1:6" ht="18" customHeight="1" x14ac:dyDescent="0.55000000000000004">
      <c r="A5" s="2" t="s">
        <v>241</v>
      </c>
      <c r="B5" s="2"/>
      <c r="C5" s="2"/>
      <c r="D5" s="2"/>
      <c r="E5" s="2"/>
      <c r="F5" s="2"/>
    </row>
    <row r="6" spans="1:6" ht="19.5" customHeight="1" x14ac:dyDescent="0.55000000000000004">
      <c r="A6" s="13" t="s">
        <v>155</v>
      </c>
      <c r="B6" s="51" t="s">
        <v>113</v>
      </c>
      <c r="C6" s="51"/>
      <c r="D6" s="13" t="s">
        <v>108</v>
      </c>
      <c r="E6" s="51" t="s">
        <v>109</v>
      </c>
      <c r="F6" s="51"/>
    </row>
    <row r="7" spans="1:6" ht="19.5" customHeight="1" x14ac:dyDescent="0.55000000000000004">
      <c r="A7" s="13" t="s">
        <v>118</v>
      </c>
      <c r="B7" s="51" t="s">
        <v>119</v>
      </c>
      <c r="C7" s="51"/>
      <c r="D7" s="13" t="s">
        <v>120</v>
      </c>
      <c r="E7" s="51" t="s">
        <v>121</v>
      </c>
      <c r="F7" s="51"/>
    </row>
    <row r="8" spans="1:6" ht="30.75" customHeight="1" x14ac:dyDescent="0.55000000000000004">
      <c r="A8" s="13" t="s">
        <v>217</v>
      </c>
      <c r="B8" s="51" t="s">
        <v>218</v>
      </c>
      <c r="C8" s="51"/>
      <c r="D8" s="13" t="s">
        <v>242</v>
      </c>
      <c r="E8" s="51" t="s">
        <v>123</v>
      </c>
      <c r="F8" s="51"/>
    </row>
    <row r="9" spans="1:6" ht="30.75" customHeight="1" x14ac:dyDescent="0.55000000000000004">
      <c r="A9" s="13" t="s">
        <v>243</v>
      </c>
      <c r="B9" s="1" t="s">
        <v>244</v>
      </c>
      <c r="C9" s="1"/>
      <c r="D9" s="13" t="s">
        <v>245</v>
      </c>
      <c r="E9" s="51" t="s">
        <v>246</v>
      </c>
      <c r="F9" s="51"/>
    </row>
    <row r="11" spans="1:6" ht="18" customHeight="1" x14ac:dyDescent="0.55000000000000004">
      <c r="A11" s="2" t="s">
        <v>247</v>
      </c>
      <c r="B11" s="2"/>
      <c r="C11" s="2"/>
      <c r="D11" s="2"/>
      <c r="E11" s="2"/>
      <c r="F11" s="2"/>
    </row>
    <row r="12" spans="1:6" ht="27.75" customHeight="1" x14ac:dyDescent="0.55000000000000004">
      <c r="A12" s="19" t="s">
        <v>248</v>
      </c>
      <c r="B12" s="19" t="s">
        <v>249</v>
      </c>
      <c r="C12" s="19" t="s">
        <v>110</v>
      </c>
      <c r="D12" s="19" t="s">
        <v>250</v>
      </c>
      <c r="E12" s="19" t="s">
        <v>251</v>
      </c>
      <c r="F12" s="19" t="s">
        <v>252</v>
      </c>
    </row>
    <row r="13" spans="1:6" ht="18" customHeight="1" x14ac:dyDescent="0.55000000000000004">
      <c r="A13" s="35">
        <v>46296</v>
      </c>
      <c r="B13" s="16" t="str">
        <f t="shared" ref="B13:B43" si="0">TEXT(A13,"dddd")</f>
        <v>Thursday</v>
      </c>
      <c r="C13" s="24" t="s">
        <v>253</v>
      </c>
      <c r="D13" s="14">
        <v>8</v>
      </c>
      <c r="E13" s="14">
        <v>0</v>
      </c>
      <c r="F13" s="24"/>
    </row>
    <row r="14" spans="1:6" x14ac:dyDescent="0.55000000000000004">
      <c r="A14" s="36">
        <f t="shared" ref="A14:A43" si="1">A13+1</f>
        <v>46297</v>
      </c>
      <c r="B14" s="16" t="str">
        <f t="shared" si="0"/>
        <v>Friday</v>
      </c>
      <c r="C14" s="24"/>
      <c r="D14" s="14"/>
      <c r="E14" s="14"/>
      <c r="F14" s="24"/>
    </row>
    <row r="15" spans="1:6" ht="18" customHeight="1" x14ac:dyDescent="0.55000000000000004">
      <c r="A15" s="36">
        <f t="shared" si="1"/>
        <v>46298</v>
      </c>
      <c r="B15" s="16" t="str">
        <f t="shared" si="0"/>
        <v>Saturday</v>
      </c>
      <c r="C15" s="24" t="s">
        <v>253</v>
      </c>
      <c r="D15" s="14">
        <v>8</v>
      </c>
      <c r="E15" s="14">
        <v>0</v>
      </c>
      <c r="F15" s="24"/>
    </row>
    <row r="16" spans="1:6" ht="18" customHeight="1" x14ac:dyDescent="0.55000000000000004">
      <c r="A16" s="36">
        <f t="shared" si="1"/>
        <v>46299</v>
      </c>
      <c r="B16" s="16" t="str">
        <f t="shared" si="0"/>
        <v>Sunday</v>
      </c>
      <c r="C16" s="24" t="s">
        <v>253</v>
      </c>
      <c r="D16" s="14">
        <v>8</v>
      </c>
      <c r="E16" s="14">
        <v>0</v>
      </c>
      <c r="F16" s="24"/>
    </row>
    <row r="17" spans="1:6" ht="18" customHeight="1" x14ac:dyDescent="0.55000000000000004">
      <c r="A17" s="36">
        <f t="shared" si="1"/>
        <v>46300</v>
      </c>
      <c r="B17" s="16" t="str">
        <f t="shared" si="0"/>
        <v>Monday</v>
      </c>
      <c r="C17" s="24" t="s">
        <v>253</v>
      </c>
      <c r="D17" s="14">
        <v>8</v>
      </c>
      <c r="E17" s="14">
        <v>0</v>
      </c>
      <c r="F17" s="24"/>
    </row>
    <row r="18" spans="1:6" ht="18" customHeight="1" x14ac:dyDescent="0.55000000000000004">
      <c r="A18" s="36">
        <f t="shared" si="1"/>
        <v>46301</v>
      </c>
      <c r="B18" s="16" t="str">
        <f t="shared" si="0"/>
        <v>Tuesday</v>
      </c>
      <c r="C18" s="24" t="s">
        <v>253</v>
      </c>
      <c r="D18" s="14">
        <v>8</v>
      </c>
      <c r="E18" s="14">
        <v>0</v>
      </c>
      <c r="F18" s="24"/>
    </row>
    <row r="19" spans="1:6" ht="18" customHeight="1" x14ac:dyDescent="0.55000000000000004">
      <c r="A19" s="36">
        <f t="shared" si="1"/>
        <v>46302</v>
      </c>
      <c r="B19" s="16" t="str">
        <f t="shared" si="0"/>
        <v>Wednesday</v>
      </c>
      <c r="C19" s="24" t="s">
        <v>182</v>
      </c>
      <c r="D19" s="14">
        <v>0</v>
      </c>
      <c r="E19" s="14">
        <v>0</v>
      </c>
      <c r="F19" s="24" t="s">
        <v>254</v>
      </c>
    </row>
    <row r="20" spans="1:6" ht="18" customHeight="1" x14ac:dyDescent="0.55000000000000004">
      <c r="A20" s="36">
        <f t="shared" si="1"/>
        <v>46303</v>
      </c>
      <c r="B20" s="16" t="str">
        <f t="shared" si="0"/>
        <v>Thursday</v>
      </c>
      <c r="C20" s="24" t="s">
        <v>182</v>
      </c>
      <c r="D20" s="14">
        <v>0</v>
      </c>
      <c r="E20" s="14">
        <v>0</v>
      </c>
      <c r="F20" s="24"/>
    </row>
    <row r="21" spans="1:6" x14ac:dyDescent="0.55000000000000004">
      <c r="A21" s="36">
        <f t="shared" si="1"/>
        <v>46304</v>
      </c>
      <c r="B21" s="16" t="str">
        <f t="shared" si="0"/>
        <v>Friday</v>
      </c>
      <c r="C21" s="24"/>
      <c r="D21" s="14"/>
      <c r="E21" s="14"/>
      <c r="F21" s="24"/>
    </row>
    <row r="22" spans="1:6" ht="18" customHeight="1" x14ac:dyDescent="0.55000000000000004">
      <c r="A22" s="36">
        <f t="shared" si="1"/>
        <v>46305</v>
      </c>
      <c r="B22" s="16" t="str">
        <f t="shared" si="0"/>
        <v>Saturday</v>
      </c>
      <c r="C22" s="24" t="s">
        <v>253</v>
      </c>
      <c r="D22" s="14">
        <v>8</v>
      </c>
      <c r="E22" s="14">
        <v>0</v>
      </c>
      <c r="F22" s="24"/>
    </row>
    <row r="23" spans="1:6" ht="18" customHeight="1" x14ac:dyDescent="0.55000000000000004">
      <c r="A23" s="36">
        <f t="shared" si="1"/>
        <v>46306</v>
      </c>
      <c r="B23" s="16" t="str">
        <f t="shared" si="0"/>
        <v>Sunday</v>
      </c>
      <c r="C23" s="24" t="s">
        <v>253</v>
      </c>
      <c r="D23" s="14">
        <v>8</v>
      </c>
      <c r="E23" s="14">
        <v>0</v>
      </c>
      <c r="F23" s="24"/>
    </row>
    <row r="24" spans="1:6" ht="18" customHeight="1" x14ac:dyDescent="0.55000000000000004">
      <c r="A24" s="36">
        <f t="shared" si="1"/>
        <v>46307</v>
      </c>
      <c r="B24" s="16" t="str">
        <f t="shared" si="0"/>
        <v>Monday</v>
      </c>
      <c r="C24" s="24" t="s">
        <v>255</v>
      </c>
      <c r="D24" s="14">
        <v>8</v>
      </c>
      <c r="E24" s="14">
        <v>0</v>
      </c>
      <c r="F24" s="24" t="s">
        <v>256</v>
      </c>
    </row>
    <row r="25" spans="1:6" ht="18" customHeight="1" x14ac:dyDescent="0.55000000000000004">
      <c r="A25" s="36">
        <f t="shared" si="1"/>
        <v>46308</v>
      </c>
      <c r="B25" s="16" t="str">
        <f t="shared" si="0"/>
        <v>Tuesday</v>
      </c>
      <c r="C25" s="24" t="s">
        <v>255</v>
      </c>
      <c r="D25" s="14">
        <v>8</v>
      </c>
      <c r="E25" s="14">
        <v>1</v>
      </c>
      <c r="F25" s="24"/>
    </row>
    <row r="26" spans="1:6" ht="18" customHeight="1" x14ac:dyDescent="0.55000000000000004">
      <c r="A26" s="36">
        <f t="shared" si="1"/>
        <v>46309</v>
      </c>
      <c r="B26" s="16" t="str">
        <f t="shared" si="0"/>
        <v>Wednesday</v>
      </c>
      <c r="C26" s="24" t="s">
        <v>257</v>
      </c>
      <c r="D26" s="14">
        <v>8</v>
      </c>
      <c r="E26" s="14">
        <v>2</v>
      </c>
      <c r="F26" s="24" t="s">
        <v>258</v>
      </c>
    </row>
    <row r="27" spans="1:6" ht="18" customHeight="1" x14ac:dyDescent="0.55000000000000004">
      <c r="A27" s="36">
        <f t="shared" si="1"/>
        <v>46310</v>
      </c>
      <c r="B27" s="16" t="str">
        <f t="shared" si="0"/>
        <v>Thursday</v>
      </c>
      <c r="C27" s="24" t="s">
        <v>253</v>
      </c>
      <c r="D27" s="14">
        <v>8</v>
      </c>
      <c r="E27" s="14">
        <v>0</v>
      </c>
      <c r="F27" s="24"/>
    </row>
    <row r="28" spans="1:6" x14ac:dyDescent="0.55000000000000004">
      <c r="A28" s="36">
        <f t="shared" si="1"/>
        <v>46311</v>
      </c>
      <c r="B28" s="16" t="str">
        <f t="shared" si="0"/>
        <v>Friday</v>
      </c>
      <c r="C28" s="24"/>
      <c r="D28" s="14"/>
      <c r="E28" s="14"/>
      <c r="F28" s="24"/>
    </row>
    <row r="29" spans="1:6" ht="18" customHeight="1" x14ac:dyDescent="0.55000000000000004">
      <c r="A29" s="36">
        <f t="shared" si="1"/>
        <v>46312</v>
      </c>
      <c r="B29" s="16" t="str">
        <f t="shared" si="0"/>
        <v>Saturday</v>
      </c>
      <c r="C29" s="24" t="s">
        <v>253</v>
      </c>
      <c r="D29" s="14">
        <v>8</v>
      </c>
      <c r="E29" s="14">
        <v>0</v>
      </c>
      <c r="F29" s="24"/>
    </row>
    <row r="30" spans="1:6" ht="18" customHeight="1" x14ac:dyDescent="0.55000000000000004">
      <c r="A30" s="36">
        <f t="shared" si="1"/>
        <v>46313</v>
      </c>
      <c r="B30" s="16" t="str">
        <f t="shared" si="0"/>
        <v>Sunday</v>
      </c>
      <c r="C30" s="24" t="s">
        <v>253</v>
      </c>
      <c r="D30" s="14">
        <v>8</v>
      </c>
      <c r="E30" s="14">
        <v>0</v>
      </c>
      <c r="F30" s="24"/>
    </row>
    <row r="31" spans="1:6" ht="18" customHeight="1" x14ac:dyDescent="0.55000000000000004">
      <c r="A31" s="36">
        <f t="shared" si="1"/>
        <v>46314</v>
      </c>
      <c r="B31" s="16" t="str">
        <f t="shared" si="0"/>
        <v>Monday</v>
      </c>
      <c r="C31" s="24" t="s">
        <v>253</v>
      </c>
      <c r="D31" s="14">
        <v>8</v>
      </c>
      <c r="E31" s="14">
        <v>0</v>
      </c>
      <c r="F31" s="24"/>
    </row>
    <row r="32" spans="1:6" ht="18" customHeight="1" x14ac:dyDescent="0.55000000000000004">
      <c r="A32" s="36">
        <f t="shared" si="1"/>
        <v>46315</v>
      </c>
      <c r="B32" s="16" t="str">
        <f t="shared" si="0"/>
        <v>Tuesday</v>
      </c>
      <c r="C32" s="24" t="s">
        <v>204</v>
      </c>
      <c r="D32" s="14">
        <v>0</v>
      </c>
      <c r="E32" s="14">
        <v>0</v>
      </c>
      <c r="F32" s="24" t="s">
        <v>259</v>
      </c>
    </row>
    <row r="33" spans="1:6" ht="18" customHeight="1" x14ac:dyDescent="0.55000000000000004">
      <c r="A33" s="36">
        <f t="shared" si="1"/>
        <v>46316</v>
      </c>
      <c r="B33" s="16" t="str">
        <f t="shared" si="0"/>
        <v>Wednesday</v>
      </c>
      <c r="C33" s="24" t="s">
        <v>253</v>
      </c>
      <c r="D33" s="14">
        <v>8</v>
      </c>
      <c r="E33" s="14">
        <v>3</v>
      </c>
      <c r="F33" s="24" t="s">
        <v>260</v>
      </c>
    </row>
    <row r="34" spans="1:6" ht="18" customHeight="1" x14ac:dyDescent="0.55000000000000004">
      <c r="A34" s="36">
        <f t="shared" si="1"/>
        <v>46317</v>
      </c>
      <c r="B34" s="16" t="str">
        <f t="shared" si="0"/>
        <v>Thursday</v>
      </c>
      <c r="C34" s="24" t="s">
        <v>261</v>
      </c>
      <c r="D34" s="14">
        <v>0</v>
      </c>
      <c r="E34" s="14">
        <v>0</v>
      </c>
      <c r="F34" s="24" t="s">
        <v>262</v>
      </c>
    </row>
    <row r="35" spans="1:6" x14ac:dyDescent="0.55000000000000004">
      <c r="A35" s="36">
        <f t="shared" si="1"/>
        <v>46318</v>
      </c>
      <c r="B35" s="16" t="str">
        <f t="shared" si="0"/>
        <v>Friday</v>
      </c>
      <c r="C35" s="24"/>
      <c r="D35" s="14"/>
      <c r="E35" s="14"/>
      <c r="F35" s="24"/>
    </row>
    <row r="36" spans="1:6" ht="18" customHeight="1" x14ac:dyDescent="0.55000000000000004">
      <c r="A36" s="36">
        <f t="shared" si="1"/>
        <v>46319</v>
      </c>
      <c r="B36" s="16" t="str">
        <f t="shared" si="0"/>
        <v>Saturday</v>
      </c>
      <c r="C36" s="24" t="s">
        <v>253</v>
      </c>
      <c r="D36" s="14">
        <v>8</v>
      </c>
      <c r="E36" s="14">
        <v>0</v>
      </c>
      <c r="F36" s="24"/>
    </row>
    <row r="37" spans="1:6" ht="18" customHeight="1" x14ac:dyDescent="0.55000000000000004">
      <c r="A37" s="36">
        <f t="shared" si="1"/>
        <v>46320</v>
      </c>
      <c r="B37" s="16" t="str">
        <f t="shared" si="0"/>
        <v>Sunday</v>
      </c>
      <c r="C37" s="24" t="s">
        <v>253</v>
      </c>
      <c r="D37" s="14">
        <v>8</v>
      </c>
      <c r="E37" s="14">
        <v>0</v>
      </c>
      <c r="F37" s="24"/>
    </row>
    <row r="38" spans="1:6" ht="18" customHeight="1" x14ac:dyDescent="0.55000000000000004">
      <c r="A38" s="36">
        <f t="shared" si="1"/>
        <v>46321</v>
      </c>
      <c r="B38" s="16" t="str">
        <f t="shared" si="0"/>
        <v>Monday</v>
      </c>
      <c r="C38" s="24" t="s">
        <v>253</v>
      </c>
      <c r="D38" s="14">
        <v>8</v>
      </c>
      <c r="E38" s="14">
        <v>0</v>
      </c>
      <c r="F38" s="24"/>
    </row>
    <row r="39" spans="1:6" ht="18" customHeight="1" x14ac:dyDescent="0.55000000000000004">
      <c r="A39" s="36">
        <f t="shared" si="1"/>
        <v>46322</v>
      </c>
      <c r="B39" s="16" t="str">
        <f t="shared" si="0"/>
        <v>Tuesday</v>
      </c>
      <c r="C39" s="24" t="s">
        <v>253</v>
      </c>
      <c r="D39" s="14">
        <v>8</v>
      </c>
      <c r="E39" s="14">
        <v>0</v>
      </c>
      <c r="F39" s="24"/>
    </row>
    <row r="40" spans="1:6" ht="18" customHeight="1" x14ac:dyDescent="0.55000000000000004">
      <c r="A40" s="36">
        <f t="shared" si="1"/>
        <v>46323</v>
      </c>
      <c r="B40" s="16" t="str">
        <f t="shared" si="0"/>
        <v>Wednesday</v>
      </c>
      <c r="C40" s="24" t="s">
        <v>253</v>
      </c>
      <c r="D40" s="14">
        <v>8</v>
      </c>
      <c r="E40" s="14">
        <v>0</v>
      </c>
      <c r="F40" s="24"/>
    </row>
    <row r="41" spans="1:6" ht="18" customHeight="1" x14ac:dyDescent="0.55000000000000004">
      <c r="A41" s="36">
        <f t="shared" si="1"/>
        <v>46324</v>
      </c>
      <c r="B41" s="16" t="str">
        <f t="shared" si="0"/>
        <v>Thursday</v>
      </c>
      <c r="C41" s="24" t="s">
        <v>253</v>
      </c>
      <c r="D41" s="14">
        <v>8</v>
      </c>
      <c r="E41" s="14">
        <v>0</v>
      </c>
      <c r="F41" s="24"/>
    </row>
    <row r="42" spans="1:6" x14ac:dyDescent="0.55000000000000004">
      <c r="A42" s="36">
        <f t="shared" si="1"/>
        <v>46325</v>
      </c>
      <c r="B42" s="16" t="str">
        <f t="shared" si="0"/>
        <v>Friday</v>
      </c>
      <c r="C42" s="24"/>
      <c r="D42" s="14"/>
      <c r="E42" s="14"/>
      <c r="F42" s="24"/>
    </row>
    <row r="43" spans="1:6" ht="18" customHeight="1" x14ac:dyDescent="0.55000000000000004">
      <c r="A43" s="36">
        <f t="shared" si="1"/>
        <v>46326</v>
      </c>
      <c r="B43" s="16" t="str">
        <f t="shared" si="0"/>
        <v>Saturday</v>
      </c>
      <c r="C43" s="24" t="s">
        <v>253</v>
      </c>
      <c r="D43" s="14">
        <v>8</v>
      </c>
      <c r="E43" s="14">
        <v>0</v>
      </c>
      <c r="F43" s="24"/>
    </row>
    <row r="45" spans="1:6" ht="18" customHeight="1" x14ac:dyDescent="0.55000000000000004">
      <c r="A45" s="2" t="s">
        <v>263</v>
      </c>
      <c r="B45" s="2"/>
      <c r="C45" s="2"/>
      <c r="D45" s="2"/>
      <c r="E45" s="2"/>
      <c r="F45" s="2"/>
    </row>
    <row r="46" spans="1:6" ht="18" customHeight="1" x14ac:dyDescent="0.55000000000000004">
      <c r="A46" s="9" t="s">
        <v>253</v>
      </c>
      <c r="B46" s="9"/>
      <c r="C46" s="16">
        <f>COUNTIF(C13:C43,"Present")</f>
        <v>19</v>
      </c>
    </row>
    <row r="47" spans="1:6" ht="18" customHeight="1" x14ac:dyDescent="0.55000000000000004">
      <c r="A47" s="9" t="s">
        <v>255</v>
      </c>
      <c r="B47" s="9"/>
      <c r="C47" s="16">
        <f>COUNTIF(C13:C43,"Field Work")</f>
        <v>2</v>
      </c>
    </row>
    <row r="48" spans="1:6" ht="18" customHeight="1" x14ac:dyDescent="0.55000000000000004">
      <c r="A48" s="9" t="s">
        <v>257</v>
      </c>
      <c r="B48" s="9"/>
      <c r="C48" s="16">
        <f>COUNTIF(C13:C43,"Official Travel")</f>
        <v>1</v>
      </c>
    </row>
    <row r="49" spans="1:6" ht="18" customHeight="1" x14ac:dyDescent="0.55000000000000004">
      <c r="A49" s="9" t="s">
        <v>261</v>
      </c>
      <c r="B49" s="9"/>
      <c r="C49" s="16">
        <f>COUNTIF(C13:C43,"Absent")</f>
        <v>1</v>
      </c>
    </row>
    <row r="50" spans="1:6" ht="18" customHeight="1" x14ac:dyDescent="0.55000000000000004">
      <c r="A50" s="9" t="s">
        <v>182</v>
      </c>
      <c r="B50" s="9"/>
      <c r="C50" s="16">
        <f>COUNTIF(C13:C43,"Annual Leave")</f>
        <v>2</v>
      </c>
    </row>
    <row r="51" spans="1:6" ht="18" customHeight="1" x14ac:dyDescent="0.55000000000000004">
      <c r="A51" s="9" t="s">
        <v>203</v>
      </c>
      <c r="B51" s="9"/>
      <c r="C51" s="16">
        <f>COUNTIF(C13:C43,"Urgency Leave")</f>
        <v>0</v>
      </c>
    </row>
    <row r="52" spans="1:6" ht="18" customHeight="1" x14ac:dyDescent="0.55000000000000004">
      <c r="A52" s="9" t="s">
        <v>204</v>
      </c>
      <c r="B52" s="9"/>
      <c r="C52" s="16">
        <f>COUNTIF(C13:C43,"Sick Leave")</f>
        <v>1</v>
      </c>
    </row>
    <row r="53" spans="1:6" ht="18" customHeight="1" x14ac:dyDescent="0.55000000000000004">
      <c r="A53" s="9" t="s">
        <v>264</v>
      </c>
      <c r="B53" s="9"/>
      <c r="C53" s="16">
        <f>SUM(D13:D43)</f>
        <v>176</v>
      </c>
    </row>
    <row r="54" spans="1:6" ht="18" customHeight="1" x14ac:dyDescent="0.55000000000000004">
      <c r="A54" s="9" t="s">
        <v>265</v>
      </c>
      <c r="B54" s="9"/>
      <c r="C54" s="16">
        <f>SUM(E13:E43)</f>
        <v>6</v>
      </c>
    </row>
    <row r="56" spans="1:6" ht="30.75" customHeight="1" x14ac:dyDescent="0.55000000000000004">
      <c r="A56" s="49" t="s">
        <v>266</v>
      </c>
      <c r="B56" s="49"/>
      <c r="C56" s="49"/>
      <c r="D56" s="49" t="s">
        <v>267</v>
      </c>
      <c r="E56" s="49"/>
      <c r="F56" s="49"/>
    </row>
    <row r="57" spans="1:6" ht="19.5" customHeight="1" x14ac:dyDescent="0.55000000000000004">
      <c r="A57" s="8" t="s">
        <v>143</v>
      </c>
      <c r="B57" s="8"/>
      <c r="C57" s="8"/>
      <c r="D57" s="8" t="s">
        <v>143</v>
      </c>
      <c r="E57" s="8"/>
      <c r="F57" s="8"/>
    </row>
    <row r="58" spans="1:6" ht="19.5" customHeight="1" x14ac:dyDescent="0.55000000000000004">
      <c r="A58" s="8" t="s">
        <v>144</v>
      </c>
      <c r="B58" s="8"/>
      <c r="C58" s="8"/>
      <c r="D58" s="8" t="s">
        <v>144</v>
      </c>
      <c r="E58" s="8"/>
      <c r="F58" s="8"/>
    </row>
    <row r="59" spans="1:6" ht="43.5" customHeight="1" x14ac:dyDescent="0.55000000000000004">
      <c r="A59" s="50" t="s">
        <v>145</v>
      </c>
      <c r="B59" s="50"/>
      <c r="C59" s="50"/>
      <c r="D59" s="50" t="s">
        <v>145</v>
      </c>
      <c r="E59" s="50"/>
      <c r="F59" s="50"/>
    </row>
    <row r="60" spans="1:6" ht="19.5" customHeight="1" x14ac:dyDescent="0.55000000000000004">
      <c r="A60" s="8" t="s">
        <v>146</v>
      </c>
      <c r="B60" s="8"/>
      <c r="C60" s="8"/>
      <c r="D60" s="8" t="s">
        <v>146</v>
      </c>
      <c r="E60" s="8"/>
      <c r="F60" s="8"/>
    </row>
    <row r="62" spans="1:6" ht="18" customHeight="1" x14ac:dyDescent="0.55000000000000004">
      <c r="A62" s="9" t="s">
        <v>147</v>
      </c>
      <c r="B62" s="9"/>
      <c r="C62" s="9"/>
      <c r="D62" s="9"/>
      <c r="E62" s="9"/>
      <c r="F62" s="9"/>
    </row>
    <row r="63" spans="1:6" ht="30.75" customHeight="1" x14ac:dyDescent="0.55000000000000004">
      <c r="A63" s="7" t="s">
        <v>268</v>
      </c>
      <c r="B63" s="7"/>
      <c r="C63" s="7"/>
      <c r="D63" s="7"/>
      <c r="E63" s="7"/>
      <c r="F63" s="7"/>
    </row>
    <row r="64" spans="1:6" ht="43.5" customHeight="1" x14ac:dyDescent="0.55000000000000004">
      <c r="A64" s="7" t="s">
        <v>269</v>
      </c>
      <c r="B64" s="7"/>
      <c r="C64" s="7"/>
      <c r="D64" s="7"/>
      <c r="E64" s="7"/>
      <c r="F64" s="7"/>
    </row>
    <row r="65" spans="1:6" ht="30.75" customHeight="1" x14ac:dyDescent="0.55000000000000004">
      <c r="A65" s="7" t="s">
        <v>270</v>
      </c>
      <c r="B65" s="7"/>
      <c r="C65" s="7"/>
      <c r="D65" s="7"/>
      <c r="E65" s="7"/>
      <c r="F65" s="7"/>
    </row>
    <row r="66" spans="1:6" ht="30.75" customHeight="1" x14ac:dyDescent="0.55000000000000004">
      <c r="A66" s="7" t="s">
        <v>271</v>
      </c>
      <c r="B66" s="7"/>
      <c r="C66" s="7"/>
      <c r="D66" s="7"/>
      <c r="E66" s="7"/>
      <c r="F66" s="7"/>
    </row>
  </sheetData>
  <mergeCells count="39">
    <mergeCell ref="A65:F65"/>
    <mergeCell ref="A66:F66"/>
    <mergeCell ref="A60:C60"/>
    <mergeCell ref="D60:F60"/>
    <mergeCell ref="A62:F62"/>
    <mergeCell ref="A63:F63"/>
    <mergeCell ref="A64:F64"/>
    <mergeCell ref="A57:C57"/>
    <mergeCell ref="D57:F57"/>
    <mergeCell ref="A58:C58"/>
    <mergeCell ref="D58:F58"/>
    <mergeCell ref="A59:C59"/>
    <mergeCell ref="D59:F59"/>
    <mergeCell ref="A52:B52"/>
    <mergeCell ref="A53:B53"/>
    <mergeCell ref="A54:B54"/>
    <mergeCell ref="A56:C56"/>
    <mergeCell ref="D56:F56"/>
    <mergeCell ref="A47:B47"/>
    <mergeCell ref="A48:B48"/>
    <mergeCell ref="A49:B49"/>
    <mergeCell ref="A50:B50"/>
    <mergeCell ref="A51:B51"/>
    <mergeCell ref="B9:C9"/>
    <mergeCell ref="E9:F9"/>
    <mergeCell ref="A11:F11"/>
    <mergeCell ref="A45:F45"/>
    <mergeCell ref="A46:B46"/>
    <mergeCell ref="B6:C6"/>
    <mergeCell ref="E6:F6"/>
    <mergeCell ref="B7:C7"/>
    <mergeCell ref="E7:F7"/>
    <mergeCell ref="B8:C8"/>
    <mergeCell ref="E8:F8"/>
    <mergeCell ref="A1:B3"/>
    <mergeCell ref="C1:F1"/>
    <mergeCell ref="C2:F2"/>
    <mergeCell ref="C3:F3"/>
    <mergeCell ref="A5:F5"/>
  </mergeCells>
  <dataValidations count="3">
    <dataValidation type="list" allowBlank="1" sqref="B9" xr:uid="{00000000-0002-0000-0500-000000000000}">
      <formula1>"Self (individual access),Designated department officer (support staff),Designated Second Unit person"</formula1>
      <formula2>0</formula2>
    </dataValidation>
    <dataValidation type="list" allowBlank="1" sqref="E9" xr:uid="{00000000-0002-0000-0500-000001000000}">
      <formula1>"Draft,Finalized and locked by Department Head"</formula1>
      <formula2>0</formula2>
    </dataValidation>
    <dataValidation type="list" allowBlank="1" sqref="C13:C43" xr:uid="{00000000-0002-0000-0500-000002000000}">
      <formula1>"Present,Absent,Annual Leave,Urgency Leave,Sick Leave,Field Work,Official Travel"</formula1>
      <formula2>0</formula2>
    </dataValidation>
  </dataValidations>
  <pageMargins left="0.5" right="0.5" top="1" bottom="1" header="0.511811023622047" footer="0.5"/>
  <pageSetup paperSize="9" fitToHeight="0" orientation="portrait" horizontalDpi="300" verticalDpi="300"/>
  <headerFooter>
    <oddFooter>&amp;LPY-05 | Crest Point Consulting Group&amp;CPage &amp;P of &amp;N&amp;RStrictly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K29"/>
  <sheetViews>
    <sheetView showGridLines="0" zoomScaleNormal="100" workbookViewId="0">
      <selection sqref="A1:B3"/>
    </sheetView>
  </sheetViews>
  <sheetFormatPr defaultColWidth="8.68359375" defaultRowHeight="14.4" x14ac:dyDescent="0.55000000000000004"/>
  <cols>
    <col min="1" max="1" width="12" customWidth="1"/>
    <col min="2" max="2" width="24" customWidth="1"/>
    <col min="3" max="3" width="13" customWidth="1"/>
    <col min="4" max="5" width="9" customWidth="1"/>
    <col min="6" max="6" width="10" customWidth="1"/>
    <col min="7" max="7" width="9" customWidth="1"/>
    <col min="8" max="8" width="10" customWidth="1"/>
    <col min="9" max="10" width="11" customWidth="1"/>
    <col min="11" max="11" width="34" customWidth="1"/>
  </cols>
  <sheetData>
    <row r="1" spans="1:11" ht="30.75" customHeight="1" x14ac:dyDescent="0.55000000000000004">
      <c r="A1" s="6" t="s">
        <v>104</v>
      </c>
      <c r="B1" s="6"/>
      <c r="C1" s="5" t="s">
        <v>0</v>
      </c>
      <c r="D1" s="5"/>
      <c r="E1" s="5"/>
      <c r="F1" s="5"/>
      <c r="G1" s="5"/>
      <c r="H1" s="5"/>
      <c r="I1" s="5"/>
      <c r="J1" s="5"/>
      <c r="K1" s="5"/>
    </row>
    <row r="2" spans="1:11" ht="21.75" customHeight="1" x14ac:dyDescent="0.55000000000000004">
      <c r="A2" s="6"/>
      <c r="B2" s="6"/>
      <c r="C2" s="4" t="s">
        <v>272</v>
      </c>
      <c r="D2" s="4"/>
      <c r="E2" s="4"/>
      <c r="F2" s="4"/>
      <c r="G2" s="4"/>
      <c r="H2" s="4"/>
      <c r="I2" s="4"/>
      <c r="J2" s="4"/>
      <c r="K2" s="4"/>
    </row>
    <row r="3" spans="1:11" ht="21.75" customHeight="1" x14ac:dyDescent="0.55000000000000004">
      <c r="A3" s="6"/>
      <c r="B3" s="6"/>
      <c r="C3" s="3" t="s">
        <v>273</v>
      </c>
      <c r="D3" s="3"/>
      <c r="E3" s="3"/>
      <c r="F3" s="3"/>
      <c r="G3" s="3"/>
      <c r="H3" s="3"/>
      <c r="I3" s="3"/>
      <c r="J3" s="3"/>
      <c r="K3" s="3"/>
    </row>
    <row r="5" spans="1:11" ht="19.5" customHeight="1" x14ac:dyDescent="0.55000000000000004">
      <c r="A5" s="9" t="s">
        <v>118</v>
      </c>
      <c r="B5" s="9"/>
      <c r="C5" s="51" t="s">
        <v>119</v>
      </c>
      <c r="D5" s="51"/>
      <c r="E5" s="51"/>
      <c r="F5" s="9" t="s">
        <v>217</v>
      </c>
      <c r="G5" s="9"/>
      <c r="H5" s="9"/>
      <c r="I5" s="51" t="s">
        <v>218</v>
      </c>
      <c r="J5" s="51"/>
      <c r="K5" s="51"/>
    </row>
    <row r="6" spans="1:11" ht="19.5" customHeight="1" x14ac:dyDescent="0.55000000000000004">
      <c r="A6" s="9" t="s">
        <v>242</v>
      </c>
      <c r="B6" s="9"/>
      <c r="C6" s="51" t="s">
        <v>123</v>
      </c>
      <c r="D6" s="51"/>
      <c r="E6" s="51"/>
      <c r="F6" s="9" t="s">
        <v>274</v>
      </c>
      <c r="G6" s="9"/>
      <c r="H6" s="9"/>
      <c r="I6" s="51" t="s">
        <v>275</v>
      </c>
      <c r="J6" s="51"/>
      <c r="K6" s="51"/>
    </row>
    <row r="8" spans="1:11" ht="48" customHeight="1" x14ac:dyDescent="0.55000000000000004">
      <c r="A8" s="19" t="s">
        <v>108</v>
      </c>
      <c r="B8" s="19" t="s">
        <v>155</v>
      </c>
      <c r="C8" s="19" t="s">
        <v>120</v>
      </c>
      <c r="D8" s="19" t="s">
        <v>276</v>
      </c>
      <c r="E8" s="19" t="s">
        <v>277</v>
      </c>
      <c r="F8" s="19" t="s">
        <v>278</v>
      </c>
      <c r="G8" s="19" t="s">
        <v>279</v>
      </c>
      <c r="H8" s="19" t="s">
        <v>280</v>
      </c>
      <c r="I8" s="19" t="s">
        <v>250</v>
      </c>
      <c r="J8" s="19" t="s">
        <v>251</v>
      </c>
      <c r="K8" s="19" t="s">
        <v>281</v>
      </c>
    </row>
    <row r="9" spans="1:11" ht="19.5" customHeight="1" x14ac:dyDescent="0.55000000000000004">
      <c r="A9" s="24" t="s">
        <v>109</v>
      </c>
      <c r="B9" s="24" t="s">
        <v>113</v>
      </c>
      <c r="C9" s="24" t="s">
        <v>121</v>
      </c>
      <c r="D9" s="24">
        <v>20</v>
      </c>
      <c r="E9" s="24">
        <v>2</v>
      </c>
      <c r="F9" s="24">
        <v>1</v>
      </c>
      <c r="G9" s="24">
        <v>1</v>
      </c>
      <c r="H9" s="24">
        <v>3</v>
      </c>
      <c r="I9" s="24">
        <v>176</v>
      </c>
      <c r="J9" s="24">
        <v>6</v>
      </c>
      <c r="K9" s="24"/>
    </row>
    <row r="10" spans="1:11" ht="19.5" customHeight="1" x14ac:dyDescent="0.55000000000000004">
      <c r="A10" s="24" t="s">
        <v>231</v>
      </c>
      <c r="B10" s="24" t="s">
        <v>232</v>
      </c>
      <c r="C10" s="24" t="s">
        <v>121</v>
      </c>
      <c r="D10" s="24">
        <v>24</v>
      </c>
      <c r="E10" s="24">
        <v>0</v>
      </c>
      <c r="F10" s="24">
        <v>0</v>
      </c>
      <c r="G10" s="24">
        <v>0</v>
      </c>
      <c r="H10" s="24">
        <v>1</v>
      </c>
      <c r="I10" s="24">
        <v>192</v>
      </c>
      <c r="J10" s="24">
        <v>0</v>
      </c>
      <c r="K10" s="24"/>
    </row>
    <row r="11" spans="1:11" ht="19.5" customHeight="1" x14ac:dyDescent="0.55000000000000004">
      <c r="A11" s="24" t="s">
        <v>282</v>
      </c>
      <c r="B11" s="24" t="s">
        <v>283</v>
      </c>
      <c r="C11" s="24" t="s">
        <v>284</v>
      </c>
      <c r="D11" s="24">
        <v>22</v>
      </c>
      <c r="E11" s="24">
        <v>0</v>
      </c>
      <c r="F11" s="24">
        <v>0</v>
      </c>
      <c r="G11" s="24">
        <v>2</v>
      </c>
      <c r="H11" s="24">
        <v>0</v>
      </c>
      <c r="I11" s="24">
        <v>176</v>
      </c>
      <c r="J11" s="24">
        <v>4</v>
      </c>
      <c r="K11" s="24"/>
    </row>
    <row r="12" spans="1:11" ht="19.5" customHeight="1" x14ac:dyDescent="0.55000000000000004">
      <c r="A12" s="15"/>
      <c r="B12" s="15"/>
      <c r="C12" s="15"/>
      <c r="D12" s="15"/>
      <c r="E12" s="15"/>
      <c r="F12" s="15"/>
      <c r="G12" s="15"/>
      <c r="H12" s="15"/>
      <c r="I12" s="15"/>
      <c r="J12" s="15"/>
      <c r="K12" s="15"/>
    </row>
    <row r="13" spans="1:11" ht="19.5" customHeight="1" x14ac:dyDescent="0.55000000000000004">
      <c r="A13" s="15"/>
      <c r="B13" s="15"/>
      <c r="C13" s="15"/>
      <c r="D13" s="15"/>
      <c r="E13" s="15"/>
      <c r="F13" s="15"/>
      <c r="G13" s="15"/>
      <c r="H13" s="15"/>
      <c r="I13" s="15"/>
      <c r="J13" s="15"/>
      <c r="K13" s="15"/>
    </row>
    <row r="14" spans="1:11" ht="19.5" customHeight="1" x14ac:dyDescent="0.55000000000000004">
      <c r="A14" s="15"/>
      <c r="B14" s="15"/>
      <c r="C14" s="15"/>
      <c r="D14" s="15"/>
      <c r="E14" s="15"/>
      <c r="F14" s="15"/>
      <c r="G14" s="15"/>
      <c r="H14" s="15"/>
      <c r="I14" s="15"/>
      <c r="J14" s="15"/>
      <c r="K14" s="15"/>
    </row>
    <row r="15" spans="1:11" ht="19.5" customHeight="1" x14ac:dyDescent="0.55000000000000004">
      <c r="A15" s="15"/>
      <c r="B15" s="15"/>
      <c r="C15" s="15"/>
      <c r="D15" s="15"/>
      <c r="E15" s="15"/>
      <c r="F15" s="15"/>
      <c r="G15" s="15"/>
      <c r="H15" s="15"/>
      <c r="I15" s="15"/>
      <c r="J15" s="15"/>
      <c r="K15" s="15"/>
    </row>
    <row r="16" spans="1:11" ht="19.5" customHeight="1" x14ac:dyDescent="0.55000000000000004">
      <c r="A16" s="15"/>
      <c r="B16" s="15"/>
      <c r="C16" s="15"/>
      <c r="D16" s="15"/>
      <c r="E16" s="15"/>
      <c r="F16" s="15"/>
      <c r="G16" s="15"/>
      <c r="H16" s="15"/>
      <c r="I16" s="15"/>
      <c r="J16" s="15"/>
      <c r="K16" s="15"/>
    </row>
    <row r="17" spans="1:11" ht="19.5" customHeight="1" x14ac:dyDescent="0.55000000000000004">
      <c r="A17" s="15"/>
      <c r="B17" s="15"/>
      <c r="C17" s="15"/>
      <c r="D17" s="15"/>
      <c r="E17" s="15"/>
      <c r="F17" s="15"/>
      <c r="G17" s="15"/>
      <c r="H17" s="15"/>
      <c r="I17" s="15"/>
      <c r="J17" s="15"/>
      <c r="K17" s="15"/>
    </row>
    <row r="18" spans="1:11" ht="19.5" customHeight="1" x14ac:dyDescent="0.55000000000000004">
      <c r="A18" s="15"/>
      <c r="B18" s="15"/>
      <c r="C18" s="15"/>
      <c r="D18" s="15"/>
      <c r="E18" s="15"/>
      <c r="F18" s="15"/>
      <c r="G18" s="15"/>
      <c r="H18" s="15"/>
      <c r="I18" s="15"/>
      <c r="J18" s="15"/>
      <c r="K18" s="15"/>
    </row>
    <row r="19" spans="1:11" ht="18" customHeight="1" x14ac:dyDescent="0.55000000000000004">
      <c r="A19" s="60" t="s">
        <v>285</v>
      </c>
      <c r="B19" s="60"/>
      <c r="C19" s="60"/>
      <c r="D19" s="33">
        <f t="shared" ref="D19:J19" si="0">SUM(D9:D18)</f>
        <v>66</v>
      </c>
      <c r="E19" s="33">
        <f t="shared" si="0"/>
        <v>2</v>
      </c>
      <c r="F19" s="33">
        <f t="shared" si="0"/>
        <v>1</v>
      </c>
      <c r="G19" s="33">
        <f t="shared" si="0"/>
        <v>3</v>
      </c>
      <c r="H19" s="33">
        <f t="shared" si="0"/>
        <v>4</v>
      </c>
      <c r="I19" s="33">
        <f t="shared" si="0"/>
        <v>544</v>
      </c>
      <c r="J19" s="33">
        <f t="shared" si="0"/>
        <v>10</v>
      </c>
      <c r="K19" s="34"/>
    </row>
    <row r="21" spans="1:11" ht="30.75" customHeight="1" x14ac:dyDescent="0.55000000000000004">
      <c r="A21" s="49" t="s">
        <v>286</v>
      </c>
      <c r="B21" s="49"/>
      <c r="C21" s="49"/>
      <c r="D21" s="49"/>
      <c r="E21" s="49" t="s">
        <v>267</v>
      </c>
      <c r="F21" s="49"/>
      <c r="G21" s="49"/>
      <c r="H21" s="49"/>
      <c r="I21" s="49"/>
      <c r="J21" s="49"/>
      <c r="K21" s="49"/>
    </row>
    <row r="22" spans="1:11" ht="19.5" customHeight="1" x14ac:dyDescent="0.55000000000000004">
      <c r="A22" s="8" t="s">
        <v>143</v>
      </c>
      <c r="B22" s="8"/>
      <c r="C22" s="8"/>
      <c r="D22" s="8"/>
      <c r="E22" s="8" t="s">
        <v>143</v>
      </c>
      <c r="F22" s="8"/>
      <c r="G22" s="8"/>
      <c r="H22" s="8"/>
      <c r="I22" s="8"/>
      <c r="J22" s="8"/>
      <c r="K22" s="8"/>
    </row>
    <row r="23" spans="1:11" ht="19.5" customHeight="1" x14ac:dyDescent="0.55000000000000004">
      <c r="A23" s="8" t="s">
        <v>144</v>
      </c>
      <c r="B23" s="8"/>
      <c r="C23" s="8"/>
      <c r="D23" s="8"/>
      <c r="E23" s="8" t="s">
        <v>144</v>
      </c>
      <c r="F23" s="8"/>
      <c r="G23" s="8"/>
      <c r="H23" s="8"/>
      <c r="I23" s="8"/>
      <c r="J23" s="8"/>
      <c r="K23" s="8"/>
    </row>
    <row r="24" spans="1:11" ht="43.5" customHeight="1" x14ac:dyDescent="0.55000000000000004">
      <c r="A24" s="50" t="s">
        <v>145</v>
      </c>
      <c r="B24" s="50"/>
      <c r="C24" s="50"/>
      <c r="D24" s="50"/>
      <c r="E24" s="50" t="s">
        <v>145</v>
      </c>
      <c r="F24" s="50"/>
      <c r="G24" s="50"/>
      <c r="H24" s="50"/>
      <c r="I24" s="50"/>
      <c r="J24" s="50"/>
      <c r="K24" s="50"/>
    </row>
    <row r="25" spans="1:11" ht="19.5" customHeight="1" x14ac:dyDescent="0.55000000000000004">
      <c r="A25" s="8" t="s">
        <v>146</v>
      </c>
      <c r="B25" s="8"/>
      <c r="C25" s="8"/>
      <c r="D25" s="8"/>
      <c r="E25" s="8" t="s">
        <v>146</v>
      </c>
      <c r="F25" s="8"/>
      <c r="G25" s="8"/>
      <c r="H25" s="8"/>
      <c r="I25" s="8"/>
      <c r="J25" s="8"/>
      <c r="K25" s="8"/>
    </row>
    <row r="27" spans="1:11" ht="18" customHeight="1" x14ac:dyDescent="0.55000000000000004">
      <c r="A27" s="9" t="s">
        <v>147</v>
      </c>
      <c r="B27" s="9"/>
      <c r="C27" s="9"/>
      <c r="D27" s="9"/>
      <c r="E27" s="9"/>
      <c r="F27" s="9"/>
      <c r="G27" s="9"/>
      <c r="H27" s="9"/>
      <c r="I27" s="9"/>
      <c r="J27" s="9"/>
      <c r="K27" s="9"/>
    </row>
    <row r="28" spans="1:11" ht="30.75" customHeight="1" x14ac:dyDescent="0.55000000000000004">
      <c r="A28" s="7" t="s">
        <v>287</v>
      </c>
      <c r="B28" s="7"/>
      <c r="C28" s="7"/>
      <c r="D28" s="7"/>
      <c r="E28" s="7"/>
      <c r="F28" s="7"/>
      <c r="G28" s="7"/>
      <c r="H28" s="7"/>
      <c r="I28" s="7"/>
      <c r="J28" s="7"/>
      <c r="K28" s="7"/>
    </row>
    <row r="29" spans="1:11" ht="30.75" customHeight="1" x14ac:dyDescent="0.55000000000000004">
      <c r="A29" s="7" t="s">
        <v>288</v>
      </c>
      <c r="B29" s="7"/>
      <c r="C29" s="7"/>
      <c r="D29" s="7"/>
      <c r="E29" s="7"/>
      <c r="F29" s="7"/>
      <c r="G29" s="7"/>
      <c r="H29" s="7"/>
      <c r="I29" s="7"/>
      <c r="J29" s="7"/>
      <c r="K29" s="7"/>
    </row>
  </sheetData>
  <mergeCells count="26">
    <mergeCell ref="A28:K28"/>
    <mergeCell ref="A29:K29"/>
    <mergeCell ref="A24:D24"/>
    <mergeCell ref="E24:K24"/>
    <mergeCell ref="A25:D25"/>
    <mergeCell ref="E25:K25"/>
    <mergeCell ref="A27:K27"/>
    <mergeCell ref="A21:D21"/>
    <mergeCell ref="E21:K21"/>
    <mergeCell ref="A22:D22"/>
    <mergeCell ref="E22:K22"/>
    <mergeCell ref="A23:D23"/>
    <mergeCell ref="E23:K23"/>
    <mergeCell ref="A6:B6"/>
    <mergeCell ref="C6:E6"/>
    <mergeCell ref="F6:H6"/>
    <mergeCell ref="I6:K6"/>
    <mergeCell ref="A19:C19"/>
    <mergeCell ref="A1:B3"/>
    <mergeCell ref="C1:K1"/>
    <mergeCell ref="C2:K2"/>
    <mergeCell ref="C3:K3"/>
    <mergeCell ref="A5:B5"/>
    <mergeCell ref="C5:E5"/>
    <mergeCell ref="F5:H5"/>
    <mergeCell ref="I5:K5"/>
  </mergeCells>
  <pageMargins left="0.5" right="0.5" top="1" bottom="1" header="0.511811023622047" footer="0.5"/>
  <pageSetup paperSize="9" fitToHeight="0" orientation="landscape" horizontalDpi="300" verticalDpi="300"/>
  <headerFooter>
    <oddFooter>&amp;LPY-06 | Crest Point Consulting Group&amp;CPage &amp;P of &amp;N&amp;RStrictly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F33"/>
  <sheetViews>
    <sheetView showGridLines="0" zoomScaleNormal="100" workbookViewId="0">
      <selection sqref="A1:B3"/>
    </sheetView>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104</v>
      </c>
      <c r="B1" s="6"/>
      <c r="C1" s="5" t="s">
        <v>0</v>
      </c>
      <c r="D1" s="5"/>
      <c r="E1" s="5"/>
      <c r="F1" s="5"/>
    </row>
    <row r="2" spans="1:6" ht="21.75" customHeight="1" x14ac:dyDescent="0.55000000000000004">
      <c r="A2" s="6"/>
      <c r="B2" s="6"/>
      <c r="C2" s="4" t="s">
        <v>289</v>
      </c>
      <c r="D2" s="4"/>
      <c r="E2" s="4"/>
      <c r="F2" s="4"/>
    </row>
    <row r="3" spans="1:6" ht="30.75" customHeight="1" x14ac:dyDescent="0.55000000000000004">
      <c r="A3" s="6"/>
      <c r="B3" s="6"/>
      <c r="C3" s="3" t="s">
        <v>290</v>
      </c>
      <c r="D3" s="3"/>
      <c r="E3" s="3"/>
      <c r="F3" s="3"/>
    </row>
    <row r="5" spans="1:6" ht="18" customHeight="1" x14ac:dyDescent="0.55000000000000004">
      <c r="A5" s="2" t="s">
        <v>291</v>
      </c>
      <c r="B5" s="2"/>
      <c r="C5" s="2"/>
      <c r="D5" s="2"/>
      <c r="E5" s="2"/>
      <c r="F5" s="2"/>
    </row>
    <row r="6" spans="1:6" ht="19.5" customHeight="1" x14ac:dyDescent="0.55000000000000004">
      <c r="A6" s="9" t="s">
        <v>292</v>
      </c>
      <c r="B6" s="9"/>
      <c r="C6" s="23" t="s">
        <v>293</v>
      </c>
      <c r="D6" s="13" t="s">
        <v>294</v>
      </c>
      <c r="E6" s="52">
        <v>46298</v>
      </c>
      <c r="F6" s="52"/>
    </row>
    <row r="7" spans="1:6" ht="19.5" customHeight="1" x14ac:dyDescent="0.55000000000000004">
      <c r="A7" s="9" t="s">
        <v>155</v>
      </c>
      <c r="B7" s="9"/>
      <c r="C7" s="24" t="s">
        <v>113</v>
      </c>
      <c r="D7" s="13" t="s">
        <v>108</v>
      </c>
      <c r="E7" s="1" t="s">
        <v>109</v>
      </c>
      <c r="F7" s="1"/>
    </row>
    <row r="8" spans="1:6" ht="19.5" customHeight="1" x14ac:dyDescent="0.55000000000000004">
      <c r="A8" s="9" t="s">
        <v>118</v>
      </c>
      <c r="B8" s="9"/>
      <c r="C8" s="23" t="s">
        <v>119</v>
      </c>
      <c r="D8" s="13" t="s">
        <v>242</v>
      </c>
      <c r="E8" s="51" t="s">
        <v>123</v>
      </c>
      <c r="F8" s="51"/>
    </row>
    <row r="9" spans="1:6" ht="30.75" customHeight="1" x14ac:dyDescent="0.55000000000000004">
      <c r="A9" s="9" t="s">
        <v>295</v>
      </c>
      <c r="B9" s="9"/>
      <c r="C9" s="26">
        <v>60000</v>
      </c>
      <c r="D9" s="13" t="s">
        <v>296</v>
      </c>
      <c r="E9" s="48">
        <v>10000</v>
      </c>
      <c r="F9" s="48"/>
    </row>
    <row r="10" spans="1:6" ht="30" customHeight="1" x14ac:dyDescent="0.55000000000000004">
      <c r="A10" s="9" t="s">
        <v>297</v>
      </c>
      <c r="B10" s="9"/>
      <c r="C10" s="1" t="s">
        <v>298</v>
      </c>
      <c r="D10" s="1"/>
      <c r="E10" s="1"/>
      <c r="F10" s="1"/>
    </row>
    <row r="11" spans="1:6" ht="30.75" customHeight="1" x14ac:dyDescent="0.55000000000000004">
      <c r="A11" s="9" t="s">
        <v>299</v>
      </c>
      <c r="B11" s="9"/>
      <c r="C11" s="23">
        <f>IF(E9&gt;0,ROUNDUP(C9/E9,0),"")</f>
        <v>6</v>
      </c>
      <c r="D11" s="13" t="s">
        <v>300</v>
      </c>
      <c r="E11" s="51" t="s">
        <v>301</v>
      </c>
      <c r="F11" s="51"/>
    </row>
    <row r="13" spans="1:6" ht="18" customHeight="1" x14ac:dyDescent="0.55000000000000004">
      <c r="A13" s="2" t="s">
        <v>302</v>
      </c>
      <c r="B13" s="2"/>
      <c r="C13" s="2"/>
      <c r="D13" s="2"/>
      <c r="E13" s="2"/>
      <c r="F13" s="2"/>
    </row>
    <row r="14" spans="1:6" ht="30.75" customHeight="1" x14ac:dyDescent="0.55000000000000004">
      <c r="A14" s="9" t="s">
        <v>303</v>
      </c>
      <c r="B14" s="9"/>
      <c r="C14" s="24" t="s">
        <v>304</v>
      </c>
      <c r="D14" s="13" t="s">
        <v>248</v>
      </c>
      <c r="E14" s="55">
        <v>46298</v>
      </c>
      <c r="F14" s="55"/>
    </row>
    <row r="15" spans="1:6" ht="43.5" customHeight="1" x14ac:dyDescent="0.55000000000000004">
      <c r="A15" s="9" t="s">
        <v>183</v>
      </c>
      <c r="B15" s="9"/>
      <c r="C15" s="24" t="s">
        <v>305</v>
      </c>
      <c r="D15" s="13" t="s">
        <v>306</v>
      </c>
      <c r="E15" s="52">
        <v>46299</v>
      </c>
      <c r="F15" s="52"/>
    </row>
    <row r="16" spans="1:6" ht="30.75" customHeight="1" x14ac:dyDescent="0.55000000000000004">
      <c r="A16" s="9" t="s">
        <v>307</v>
      </c>
      <c r="B16" s="9"/>
      <c r="C16" s="24" t="s">
        <v>308</v>
      </c>
      <c r="D16" s="13" t="s">
        <v>309</v>
      </c>
      <c r="E16" s="61">
        <v>46299.430555555598</v>
      </c>
      <c r="F16" s="61"/>
    </row>
    <row r="17" spans="1:6" ht="30.75" customHeight="1" x14ac:dyDescent="0.55000000000000004">
      <c r="A17" s="9" t="s">
        <v>310</v>
      </c>
      <c r="B17" s="9"/>
      <c r="C17" s="24" t="s">
        <v>311</v>
      </c>
      <c r="D17" s="13" t="s">
        <v>312</v>
      </c>
      <c r="E17" s="55">
        <v>46300</v>
      </c>
      <c r="F17" s="55"/>
    </row>
    <row r="18" spans="1:6" ht="30.75" customHeight="1" x14ac:dyDescent="0.55000000000000004">
      <c r="A18" s="9" t="s">
        <v>313</v>
      </c>
      <c r="B18" s="9"/>
      <c r="C18" s="23" t="s">
        <v>314</v>
      </c>
      <c r="D18" s="13" t="s">
        <v>315</v>
      </c>
      <c r="E18" s="55">
        <v>46301</v>
      </c>
      <c r="F18" s="55"/>
    </row>
    <row r="20" spans="1:6" ht="18" customHeight="1" x14ac:dyDescent="0.55000000000000004">
      <c r="A20" s="2" t="s">
        <v>316</v>
      </c>
      <c r="B20" s="2"/>
      <c r="C20" s="2"/>
      <c r="D20" s="2"/>
      <c r="E20" s="2"/>
      <c r="F20" s="2"/>
    </row>
    <row r="21" spans="1:6" ht="30.75" customHeight="1" x14ac:dyDescent="0.55000000000000004">
      <c r="A21" s="9" t="s">
        <v>317</v>
      </c>
      <c r="B21" s="9"/>
      <c r="C21" s="30">
        <f>C9</f>
        <v>60000</v>
      </c>
      <c r="D21" s="13" t="s">
        <v>318</v>
      </c>
      <c r="E21" s="53">
        <f>E9</f>
        <v>10000</v>
      </c>
      <c r="F21" s="53"/>
    </row>
    <row r="22" spans="1:6" ht="30.75" customHeight="1" x14ac:dyDescent="0.55000000000000004">
      <c r="A22" s="9" t="s">
        <v>319</v>
      </c>
      <c r="B22" s="9"/>
      <c r="C22" s="30">
        <f>C21</f>
        <v>60000</v>
      </c>
      <c r="D22" s="13" t="s">
        <v>320</v>
      </c>
      <c r="E22" s="51" t="s">
        <v>321</v>
      </c>
      <c r="F22" s="51"/>
    </row>
    <row r="24" spans="1:6" ht="30.75" customHeight="1" x14ac:dyDescent="0.55000000000000004">
      <c r="A24" s="49" t="s">
        <v>322</v>
      </c>
      <c r="B24" s="49"/>
      <c r="C24" s="49"/>
      <c r="D24" s="49" t="s">
        <v>323</v>
      </c>
      <c r="E24" s="49"/>
      <c r="F24" s="49"/>
    </row>
    <row r="25" spans="1:6" ht="19.5" customHeight="1" x14ac:dyDescent="0.55000000000000004">
      <c r="A25" s="8" t="s">
        <v>143</v>
      </c>
      <c r="B25" s="8"/>
      <c r="C25" s="8"/>
      <c r="D25" s="8" t="s">
        <v>143</v>
      </c>
      <c r="E25" s="8"/>
      <c r="F25" s="8"/>
    </row>
    <row r="26" spans="1:6" ht="19.5" customHeight="1" x14ac:dyDescent="0.55000000000000004">
      <c r="A26" s="8" t="s">
        <v>144</v>
      </c>
      <c r="B26" s="8"/>
      <c r="C26" s="8"/>
      <c r="D26" s="8" t="s">
        <v>144</v>
      </c>
      <c r="E26" s="8"/>
      <c r="F26" s="8"/>
    </row>
    <row r="27" spans="1:6" ht="43.5" customHeight="1" x14ac:dyDescent="0.55000000000000004">
      <c r="A27" s="50" t="s">
        <v>145</v>
      </c>
      <c r="B27" s="50"/>
      <c r="C27" s="50"/>
      <c r="D27" s="50" t="s">
        <v>145</v>
      </c>
      <c r="E27" s="50"/>
      <c r="F27" s="50"/>
    </row>
    <row r="28" spans="1:6" ht="19.5" customHeight="1" x14ac:dyDescent="0.55000000000000004">
      <c r="A28" s="8" t="s">
        <v>146</v>
      </c>
      <c r="B28" s="8"/>
      <c r="C28" s="8"/>
      <c r="D28" s="8" t="s">
        <v>146</v>
      </c>
      <c r="E28" s="8"/>
      <c r="F28" s="8"/>
    </row>
    <row r="30" spans="1:6" ht="18" customHeight="1" x14ac:dyDescent="0.55000000000000004">
      <c r="A30" s="9" t="s">
        <v>147</v>
      </c>
      <c r="B30" s="9"/>
      <c r="C30" s="9"/>
      <c r="D30" s="9"/>
      <c r="E30" s="9"/>
      <c r="F30" s="9"/>
    </row>
    <row r="31" spans="1:6" ht="43.5" customHeight="1" x14ac:dyDescent="0.55000000000000004">
      <c r="A31" s="7" t="s">
        <v>324</v>
      </c>
      <c r="B31" s="7"/>
      <c r="C31" s="7"/>
      <c r="D31" s="7"/>
      <c r="E31" s="7"/>
      <c r="F31" s="7"/>
    </row>
    <row r="32" spans="1:6" ht="30.75" customHeight="1" x14ac:dyDescent="0.55000000000000004">
      <c r="A32" s="7" t="s">
        <v>325</v>
      </c>
      <c r="B32" s="7"/>
      <c r="C32" s="7"/>
      <c r="D32" s="7"/>
      <c r="E32" s="7"/>
      <c r="F32" s="7"/>
    </row>
    <row r="33" spans="1:6" ht="43.5" customHeight="1" x14ac:dyDescent="0.55000000000000004">
      <c r="A33" s="7" t="s">
        <v>326</v>
      </c>
      <c r="B33" s="7"/>
      <c r="C33" s="7"/>
      <c r="D33" s="7"/>
      <c r="E33" s="7"/>
      <c r="F33" s="7"/>
    </row>
  </sheetData>
  <mergeCells count="47">
    <mergeCell ref="A31:F31"/>
    <mergeCell ref="A32:F32"/>
    <mergeCell ref="A33:F33"/>
    <mergeCell ref="A27:C27"/>
    <mergeCell ref="D27:F27"/>
    <mergeCell ref="A28:C28"/>
    <mergeCell ref="D28:F28"/>
    <mergeCell ref="A30:F30"/>
    <mergeCell ref="A24:C24"/>
    <mergeCell ref="D24:F24"/>
    <mergeCell ref="A25:C25"/>
    <mergeCell ref="D25:F25"/>
    <mergeCell ref="A26:C26"/>
    <mergeCell ref="D26:F26"/>
    <mergeCell ref="A20:F20"/>
    <mergeCell ref="A21:B21"/>
    <mergeCell ref="E21:F21"/>
    <mergeCell ref="A22:B22"/>
    <mergeCell ref="E22:F22"/>
    <mergeCell ref="A16:B16"/>
    <mergeCell ref="E16:F16"/>
    <mergeCell ref="A17:B17"/>
    <mergeCell ref="E17:F17"/>
    <mergeCell ref="A18:B18"/>
    <mergeCell ref="E18:F18"/>
    <mergeCell ref="A13:F13"/>
    <mergeCell ref="A14:B14"/>
    <mergeCell ref="E14:F14"/>
    <mergeCell ref="A15:B15"/>
    <mergeCell ref="E15:F15"/>
    <mergeCell ref="A9:B9"/>
    <mergeCell ref="E9:F9"/>
    <mergeCell ref="A10:B10"/>
    <mergeCell ref="C10:F10"/>
    <mergeCell ref="A11:B11"/>
    <mergeCell ref="E11:F11"/>
    <mergeCell ref="A6:B6"/>
    <mergeCell ref="E6:F6"/>
    <mergeCell ref="A7:B7"/>
    <mergeCell ref="E7:F7"/>
    <mergeCell ref="A8:B8"/>
    <mergeCell ref="E8:F8"/>
    <mergeCell ref="A1:B3"/>
    <mergeCell ref="C1:F1"/>
    <mergeCell ref="C2:F2"/>
    <mergeCell ref="C3:F3"/>
    <mergeCell ref="A5:F5"/>
  </mergeCells>
  <dataValidations count="1">
    <dataValidation type="list" allowBlank="1" sqref="C17" xr:uid="{00000000-0002-0000-0700-000000000000}">
      <formula1>"Approved,Rejected"</formula1>
      <formula2>0</formula2>
    </dataValidation>
  </dataValidations>
  <pageMargins left="0.5" right="0.5" top="1" bottom="1" header="0.511811023622047" footer="0.5"/>
  <pageSetup paperSize="9" fitToHeight="0" orientation="portrait" horizontalDpi="300" verticalDpi="300"/>
  <headerFooter>
    <oddFooter>&amp;LPY-07 | Crest Point Consulting Group&amp;CPage &amp;P of &amp;N&amp;RStrictly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F7F7F"/>
    <pageSetUpPr fitToPage="1"/>
  </sheetPr>
  <dimension ref="A1:H23"/>
  <sheetViews>
    <sheetView showGridLines="0" zoomScaleNormal="100" workbookViewId="0">
      <selection sqref="A1:B3"/>
    </sheetView>
  </sheetViews>
  <sheetFormatPr defaultColWidth="8.68359375" defaultRowHeight="14.4" x14ac:dyDescent="0.55000000000000004"/>
  <cols>
    <col min="1" max="1" width="6" customWidth="1"/>
    <col min="2" max="2" width="14" customWidth="1"/>
    <col min="3" max="3" width="18" customWidth="1"/>
    <col min="4" max="4" width="38" customWidth="1"/>
    <col min="5" max="6" width="16" customWidth="1"/>
    <col min="7" max="7" width="18" customWidth="1"/>
    <col min="8" max="8" width="26" customWidth="1"/>
  </cols>
  <sheetData>
    <row r="1" spans="1:8" ht="43.5" customHeight="1" x14ac:dyDescent="0.55000000000000004">
      <c r="A1" s="6" t="s">
        <v>104</v>
      </c>
      <c r="B1" s="6"/>
      <c r="C1" s="5" t="s">
        <v>0</v>
      </c>
      <c r="D1" s="5"/>
      <c r="E1" s="5"/>
      <c r="F1" s="5"/>
      <c r="G1" s="5"/>
      <c r="H1" s="5"/>
    </row>
    <row r="2" spans="1:8" ht="21.75" customHeight="1" x14ac:dyDescent="0.55000000000000004">
      <c r="A2" s="6"/>
      <c r="B2" s="6"/>
      <c r="C2" s="4" t="s">
        <v>327</v>
      </c>
      <c r="D2" s="4"/>
      <c r="E2" s="4"/>
      <c r="F2" s="4"/>
      <c r="G2" s="4"/>
      <c r="H2" s="4"/>
    </row>
    <row r="3" spans="1:8" ht="21.75" customHeight="1" x14ac:dyDescent="0.55000000000000004">
      <c r="A3" s="6"/>
      <c r="B3" s="6"/>
      <c r="C3" s="3" t="s">
        <v>328</v>
      </c>
      <c r="D3" s="3"/>
      <c r="E3" s="3"/>
      <c r="F3" s="3"/>
      <c r="G3" s="3"/>
      <c r="H3" s="3"/>
    </row>
    <row r="5" spans="1:8" ht="19.5" customHeight="1" x14ac:dyDescent="0.55000000000000004">
      <c r="A5" s="9" t="s">
        <v>329</v>
      </c>
      <c r="B5" s="9"/>
      <c r="C5" s="51" t="s">
        <v>330</v>
      </c>
      <c r="D5" s="51"/>
      <c r="E5" s="9" t="s">
        <v>331</v>
      </c>
      <c r="F5" s="9"/>
      <c r="G5" s="51" t="s">
        <v>293</v>
      </c>
      <c r="H5" s="51"/>
    </row>
    <row r="6" spans="1:8" ht="30.75" customHeight="1" x14ac:dyDescent="0.55000000000000004">
      <c r="A6" s="9" t="s">
        <v>332</v>
      </c>
      <c r="B6" s="9"/>
      <c r="C6" s="53">
        <v>60000</v>
      </c>
      <c r="D6" s="53"/>
      <c r="E6" s="9" t="s">
        <v>318</v>
      </c>
      <c r="F6" s="9"/>
      <c r="G6" s="53">
        <v>10000</v>
      </c>
      <c r="H6" s="53"/>
    </row>
    <row r="8" spans="1:8" ht="33.75" customHeight="1" x14ac:dyDescent="0.55000000000000004">
      <c r="A8" s="19" t="s">
        <v>132</v>
      </c>
      <c r="B8" s="19" t="s">
        <v>248</v>
      </c>
      <c r="C8" s="19" t="s">
        <v>333</v>
      </c>
      <c r="D8" s="19" t="s">
        <v>334</v>
      </c>
      <c r="E8" s="19" t="s">
        <v>335</v>
      </c>
      <c r="F8" s="19" t="s">
        <v>336</v>
      </c>
      <c r="G8" s="19" t="s">
        <v>319</v>
      </c>
      <c r="H8" s="19" t="s">
        <v>337</v>
      </c>
    </row>
    <row r="9" spans="1:8" ht="19.5" customHeight="1" x14ac:dyDescent="0.55000000000000004">
      <c r="A9" s="20">
        <v>1</v>
      </c>
      <c r="B9" s="25">
        <v>46301</v>
      </c>
      <c r="C9" s="24" t="s">
        <v>314</v>
      </c>
      <c r="D9" s="24" t="s">
        <v>338</v>
      </c>
      <c r="E9" s="26">
        <v>60000</v>
      </c>
      <c r="F9" s="26"/>
      <c r="G9" s="30">
        <f>IF(B9="","",N(E9)-N(F9))</f>
        <v>60000</v>
      </c>
      <c r="H9" s="23"/>
    </row>
    <row r="10" spans="1:8" ht="19.5" customHeight="1" x14ac:dyDescent="0.55000000000000004">
      <c r="A10" s="20">
        <v>2</v>
      </c>
      <c r="B10" s="25">
        <v>46326</v>
      </c>
      <c r="C10" s="24" t="s">
        <v>339</v>
      </c>
      <c r="D10" s="24" t="s">
        <v>340</v>
      </c>
      <c r="E10" s="26"/>
      <c r="F10" s="26">
        <v>10000</v>
      </c>
      <c r="G10" s="30">
        <f t="shared" ref="G10:G18" si="0">IF(B10="","",N(G9)+N(E10)-N(F10))</f>
        <v>50000</v>
      </c>
      <c r="H10" s="23" t="str">
        <f t="shared" ref="H10:H18" si="1">IF(F10="","",IF(F10&gt;$G$6,"EXCEEDS APPROVED LIMIT",IF(F10&gt;N(G9),"EXCEEDS BALANCE","Within limit")))</f>
        <v>Within limit</v>
      </c>
    </row>
    <row r="11" spans="1:8" ht="19.5" customHeight="1" x14ac:dyDescent="0.55000000000000004">
      <c r="A11" s="20">
        <v>3</v>
      </c>
      <c r="B11" s="25">
        <v>46356</v>
      </c>
      <c r="C11" s="24" t="s">
        <v>341</v>
      </c>
      <c r="D11" s="24" t="s">
        <v>342</v>
      </c>
      <c r="E11" s="26"/>
      <c r="F11" s="26">
        <v>10000</v>
      </c>
      <c r="G11" s="30">
        <f t="shared" si="0"/>
        <v>40000</v>
      </c>
      <c r="H11" s="23" t="str">
        <f t="shared" si="1"/>
        <v>Within limit</v>
      </c>
    </row>
    <row r="12" spans="1:8" ht="19.5" customHeight="1" x14ac:dyDescent="0.55000000000000004">
      <c r="A12" s="20">
        <v>4</v>
      </c>
      <c r="B12" s="25">
        <v>46387</v>
      </c>
      <c r="C12" s="24" t="s">
        <v>343</v>
      </c>
      <c r="D12" s="24" t="s">
        <v>344</v>
      </c>
      <c r="E12" s="26"/>
      <c r="F12" s="26">
        <v>12000</v>
      </c>
      <c r="G12" s="30">
        <f t="shared" si="0"/>
        <v>28000</v>
      </c>
      <c r="H12" s="23" t="str">
        <f t="shared" si="1"/>
        <v>EXCEEDS APPROVED LIMIT</v>
      </c>
    </row>
    <row r="13" spans="1:8" ht="19.5" customHeight="1" x14ac:dyDescent="0.55000000000000004">
      <c r="A13" s="20">
        <v>5</v>
      </c>
      <c r="B13" s="15"/>
      <c r="C13" s="15"/>
      <c r="D13" s="15"/>
      <c r="E13" s="27"/>
      <c r="F13" s="27"/>
      <c r="G13" s="30" t="str">
        <f t="shared" si="0"/>
        <v/>
      </c>
      <c r="H13" s="23" t="str">
        <f t="shared" si="1"/>
        <v/>
      </c>
    </row>
    <row r="14" spans="1:8" ht="19.5" customHeight="1" x14ac:dyDescent="0.55000000000000004">
      <c r="A14" s="20">
        <v>6</v>
      </c>
      <c r="B14" s="15"/>
      <c r="C14" s="15"/>
      <c r="D14" s="15"/>
      <c r="E14" s="27"/>
      <c r="F14" s="27"/>
      <c r="G14" s="30" t="str">
        <f t="shared" si="0"/>
        <v/>
      </c>
      <c r="H14" s="23" t="str">
        <f t="shared" si="1"/>
        <v/>
      </c>
    </row>
    <row r="15" spans="1:8" ht="19.5" customHeight="1" x14ac:dyDescent="0.55000000000000004">
      <c r="A15" s="20">
        <v>7</v>
      </c>
      <c r="B15" s="15"/>
      <c r="C15" s="15"/>
      <c r="D15" s="15"/>
      <c r="E15" s="27"/>
      <c r="F15" s="27"/>
      <c r="G15" s="30" t="str">
        <f t="shared" si="0"/>
        <v/>
      </c>
      <c r="H15" s="23" t="str">
        <f t="shared" si="1"/>
        <v/>
      </c>
    </row>
    <row r="16" spans="1:8" ht="19.5" customHeight="1" x14ac:dyDescent="0.55000000000000004">
      <c r="A16" s="20">
        <v>8</v>
      </c>
      <c r="B16" s="15"/>
      <c r="C16" s="15"/>
      <c r="D16" s="15"/>
      <c r="E16" s="27"/>
      <c r="F16" s="27"/>
      <c r="G16" s="30" t="str">
        <f t="shared" si="0"/>
        <v/>
      </c>
      <c r="H16" s="23" t="str">
        <f t="shared" si="1"/>
        <v/>
      </c>
    </row>
    <row r="17" spans="1:8" ht="19.5" customHeight="1" x14ac:dyDescent="0.55000000000000004">
      <c r="A17" s="20">
        <v>9</v>
      </c>
      <c r="B17" s="15"/>
      <c r="C17" s="15"/>
      <c r="D17" s="15"/>
      <c r="E17" s="27"/>
      <c r="F17" s="27"/>
      <c r="G17" s="30" t="str">
        <f t="shared" si="0"/>
        <v/>
      </c>
      <c r="H17" s="23" t="str">
        <f t="shared" si="1"/>
        <v/>
      </c>
    </row>
    <row r="18" spans="1:8" ht="19.5" customHeight="1" x14ac:dyDescent="0.55000000000000004">
      <c r="A18" s="20">
        <v>10</v>
      </c>
      <c r="B18" s="15"/>
      <c r="C18" s="15"/>
      <c r="D18" s="15"/>
      <c r="E18" s="27"/>
      <c r="F18" s="27"/>
      <c r="G18" s="30" t="str">
        <f t="shared" si="0"/>
        <v/>
      </c>
      <c r="H18" s="23" t="str">
        <f t="shared" si="1"/>
        <v/>
      </c>
    </row>
    <row r="19" spans="1:8" ht="18" customHeight="1" x14ac:dyDescent="0.55000000000000004">
      <c r="A19" s="60" t="s">
        <v>345</v>
      </c>
      <c r="B19" s="60"/>
      <c r="C19" s="60"/>
      <c r="D19" s="60"/>
      <c r="E19" s="60"/>
      <c r="F19" s="60"/>
      <c r="G19" s="37">
        <f>IF(COUNT(G9:G18)=0,0,LOOKUP(9.99E+307,G9:G18))</f>
        <v>28000</v>
      </c>
      <c r="H19" s="13" t="str">
        <f>IF(G19=0,"Fully recovered","Outstanding")</f>
        <v>Outstanding</v>
      </c>
    </row>
    <row r="21" spans="1:8" ht="18" customHeight="1" x14ac:dyDescent="0.55000000000000004">
      <c r="A21" s="9" t="s">
        <v>147</v>
      </c>
      <c r="B21" s="9"/>
      <c r="C21" s="9"/>
      <c r="D21" s="9"/>
      <c r="E21" s="9"/>
      <c r="F21" s="9"/>
      <c r="G21" s="9"/>
      <c r="H21" s="9"/>
    </row>
    <row r="22" spans="1:8" ht="30.75" customHeight="1" x14ac:dyDescent="0.55000000000000004">
      <c r="A22" s="7" t="s">
        <v>346</v>
      </c>
      <c r="B22" s="7"/>
      <c r="C22" s="7"/>
      <c r="D22" s="7"/>
      <c r="E22" s="7"/>
      <c r="F22" s="7"/>
      <c r="G22" s="7"/>
      <c r="H22" s="7"/>
    </row>
    <row r="23" spans="1:8" ht="30.75" customHeight="1" x14ac:dyDescent="0.55000000000000004">
      <c r="A23" s="7" t="s">
        <v>347</v>
      </c>
      <c r="B23" s="7"/>
      <c r="C23" s="7"/>
      <c r="D23" s="7"/>
      <c r="E23" s="7"/>
      <c r="F23" s="7"/>
      <c r="G23" s="7"/>
      <c r="H23" s="7"/>
    </row>
  </sheetData>
  <mergeCells count="16">
    <mergeCell ref="A21:H21"/>
    <mergeCell ref="A22:H22"/>
    <mergeCell ref="A23:H23"/>
    <mergeCell ref="A6:B6"/>
    <mergeCell ref="C6:D6"/>
    <mergeCell ref="E6:F6"/>
    <mergeCell ref="G6:H6"/>
    <mergeCell ref="A19:F19"/>
    <mergeCell ref="A1:B3"/>
    <mergeCell ref="C1:H1"/>
    <mergeCell ref="C2:H2"/>
    <mergeCell ref="C3:H3"/>
    <mergeCell ref="A5:B5"/>
    <mergeCell ref="C5:D5"/>
    <mergeCell ref="E5:F5"/>
    <mergeCell ref="G5:H5"/>
  </mergeCells>
  <pageMargins left="0.5" right="0.5" top="1" bottom="1" header="0.511811023622047" footer="0.5"/>
  <pageSetup paperSize="9" fitToHeight="0" orientation="landscape" horizontalDpi="300" verticalDpi="300"/>
  <headerFooter>
    <oddFooter>&amp;LPY-08 | Crest Point Consulting Group&amp;CPage &amp;P of &amp;N&amp;RStrictly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pageSetUpPr fitToPage="1"/>
  </sheetPr>
  <dimension ref="A1:T34"/>
  <sheetViews>
    <sheetView showGridLines="0" zoomScaleNormal="100" workbookViewId="0">
      <pane xSplit="3" ySplit="8" topLeftCell="D9" activePane="bottomRight" state="frozen"/>
      <selection pane="topRight" activeCell="D1" sqref="D1"/>
      <selection pane="bottomLeft" activeCell="A9" sqref="A9"/>
      <selection pane="bottomRight" sqref="A1:B3"/>
    </sheetView>
  </sheetViews>
  <sheetFormatPr defaultColWidth="8.68359375" defaultRowHeight="14.4" x14ac:dyDescent="0.55000000000000004"/>
  <cols>
    <col min="1" max="1" width="5" customWidth="1"/>
    <col min="2" max="2" width="12" customWidth="1"/>
    <col min="3" max="3" width="22" customWidth="1"/>
    <col min="4" max="4" width="18" customWidth="1"/>
    <col min="5" max="5" width="15" customWidth="1"/>
    <col min="6" max="6" width="11" customWidth="1"/>
    <col min="7" max="7" width="12" customWidth="1"/>
    <col min="8" max="8" width="8" customWidth="1"/>
    <col min="9" max="9" width="9" customWidth="1"/>
    <col min="10" max="10" width="11" customWidth="1"/>
    <col min="11" max="11" width="12" customWidth="1"/>
    <col min="12" max="12" width="13" customWidth="1"/>
    <col min="13" max="14" width="10" customWidth="1"/>
    <col min="15" max="15" width="11" customWidth="1"/>
    <col min="16" max="16" width="13" customWidth="1"/>
    <col min="17" max="18" width="11" customWidth="1"/>
    <col min="19" max="19" width="13" customWidth="1"/>
    <col min="20" max="20" width="16" customWidth="1"/>
  </cols>
  <sheetData>
    <row r="1" spans="1:20" ht="55.5" customHeight="1" x14ac:dyDescent="0.55000000000000004">
      <c r="A1" s="6" t="s">
        <v>104</v>
      </c>
      <c r="B1" s="6"/>
      <c r="C1" s="5" t="s">
        <v>0</v>
      </c>
      <c r="D1" s="5"/>
      <c r="E1" s="5"/>
      <c r="F1" s="5"/>
      <c r="G1" s="5"/>
      <c r="H1" s="5"/>
      <c r="I1" s="5"/>
      <c r="J1" s="5"/>
      <c r="K1" s="5"/>
      <c r="L1" s="5"/>
      <c r="M1" s="5"/>
      <c r="N1" s="5"/>
      <c r="O1" s="5"/>
      <c r="P1" s="5"/>
      <c r="Q1" s="5"/>
      <c r="R1" s="5"/>
      <c r="S1" s="5"/>
      <c r="T1" s="5"/>
    </row>
    <row r="2" spans="1:20" ht="21.75" customHeight="1" x14ac:dyDescent="0.55000000000000004">
      <c r="A2" s="6"/>
      <c r="B2" s="6"/>
      <c r="C2" s="4" t="s">
        <v>348</v>
      </c>
      <c r="D2" s="4"/>
      <c r="E2" s="4"/>
      <c r="F2" s="4"/>
      <c r="G2" s="4"/>
      <c r="H2" s="4"/>
      <c r="I2" s="4"/>
      <c r="J2" s="4"/>
      <c r="K2" s="4"/>
      <c r="L2" s="4"/>
      <c r="M2" s="4"/>
      <c r="N2" s="4"/>
      <c r="O2" s="4"/>
      <c r="P2" s="4"/>
      <c r="Q2" s="4"/>
      <c r="R2" s="4"/>
      <c r="S2" s="4"/>
      <c r="T2" s="4"/>
    </row>
    <row r="3" spans="1:20" ht="21.75" customHeight="1" x14ac:dyDescent="0.55000000000000004">
      <c r="A3" s="6"/>
      <c r="B3" s="6"/>
      <c r="C3" s="3" t="s">
        <v>349</v>
      </c>
      <c r="D3" s="3"/>
      <c r="E3" s="3"/>
      <c r="F3" s="3"/>
      <c r="G3" s="3"/>
      <c r="H3" s="3"/>
      <c r="I3" s="3"/>
      <c r="J3" s="3"/>
      <c r="K3" s="3"/>
      <c r="L3" s="3"/>
      <c r="M3" s="3"/>
      <c r="N3" s="3"/>
      <c r="O3" s="3"/>
      <c r="P3" s="3"/>
      <c r="Q3" s="3"/>
      <c r="R3" s="3"/>
      <c r="S3" s="3"/>
      <c r="T3" s="3"/>
    </row>
    <row r="5" spans="1:20" ht="19.5" customHeight="1" x14ac:dyDescent="0.55000000000000004">
      <c r="A5" s="9" t="s">
        <v>350</v>
      </c>
      <c r="B5" s="9"/>
      <c r="C5" s="9"/>
      <c r="D5" s="51" t="s">
        <v>351</v>
      </c>
      <c r="E5" s="51"/>
      <c r="F5" s="51"/>
      <c r="G5" s="9" t="s">
        <v>352</v>
      </c>
      <c r="H5" s="9"/>
      <c r="I5" s="9"/>
      <c r="J5" s="9"/>
      <c r="K5" s="9"/>
      <c r="L5" s="51" t="s">
        <v>218</v>
      </c>
      <c r="M5" s="51"/>
      <c r="N5" s="51"/>
      <c r="O5" s="51"/>
      <c r="P5" s="51"/>
      <c r="Q5" s="51"/>
      <c r="R5" s="51"/>
      <c r="S5" s="51"/>
      <c r="T5" s="51"/>
    </row>
    <row r="6" spans="1:20" ht="19.5" customHeight="1" x14ac:dyDescent="0.55000000000000004">
      <c r="A6" s="9" t="s">
        <v>353</v>
      </c>
      <c r="B6" s="9"/>
      <c r="C6" s="9"/>
      <c r="D6" s="51" t="s">
        <v>354</v>
      </c>
      <c r="E6" s="51"/>
      <c r="F6" s="51"/>
      <c r="G6" s="9" t="s">
        <v>355</v>
      </c>
      <c r="H6" s="9"/>
      <c r="I6" s="9"/>
      <c r="J6" s="9"/>
      <c r="K6" s="9"/>
      <c r="L6" s="51" t="s">
        <v>356</v>
      </c>
      <c r="M6" s="51"/>
      <c r="N6" s="51"/>
      <c r="O6" s="51"/>
      <c r="P6" s="51"/>
      <c r="Q6" s="51"/>
      <c r="R6" s="51"/>
      <c r="S6" s="51"/>
      <c r="T6" s="51"/>
    </row>
    <row r="8" spans="1:20" ht="57.75" customHeight="1" x14ac:dyDescent="0.55000000000000004">
      <c r="A8" s="19" t="s">
        <v>132</v>
      </c>
      <c r="B8" s="19" t="s">
        <v>108</v>
      </c>
      <c r="C8" s="19" t="s">
        <v>155</v>
      </c>
      <c r="D8" s="19" t="s">
        <v>114</v>
      </c>
      <c r="E8" s="19" t="s">
        <v>118</v>
      </c>
      <c r="F8" s="19" t="s">
        <v>357</v>
      </c>
      <c r="G8" s="19" t="s">
        <v>358</v>
      </c>
      <c r="H8" s="19" t="s">
        <v>359</v>
      </c>
      <c r="I8" s="19" t="s">
        <v>360</v>
      </c>
      <c r="J8" s="19" t="s">
        <v>361</v>
      </c>
      <c r="K8" s="19" t="s">
        <v>362</v>
      </c>
      <c r="L8" s="19" t="s">
        <v>363</v>
      </c>
      <c r="M8" s="19" t="s">
        <v>364</v>
      </c>
      <c r="N8" s="19" t="s">
        <v>365</v>
      </c>
      <c r="O8" s="19" t="s">
        <v>366</v>
      </c>
      <c r="P8" s="19" t="s">
        <v>367</v>
      </c>
      <c r="Q8" s="19" t="s">
        <v>368</v>
      </c>
      <c r="R8" s="19" t="s">
        <v>369</v>
      </c>
      <c r="S8" s="19" t="s">
        <v>370</v>
      </c>
      <c r="T8" s="19" t="s">
        <v>371</v>
      </c>
    </row>
    <row r="9" spans="1:20" ht="19.5" customHeight="1" x14ac:dyDescent="0.55000000000000004">
      <c r="A9" s="20">
        <v>1</v>
      </c>
      <c r="B9" s="24" t="s">
        <v>109</v>
      </c>
      <c r="C9" s="24" t="s">
        <v>113</v>
      </c>
      <c r="D9" s="24" t="s">
        <v>115</v>
      </c>
      <c r="E9" s="24" t="s">
        <v>119</v>
      </c>
      <c r="F9" s="24" t="s">
        <v>121</v>
      </c>
      <c r="G9" s="26">
        <v>40000</v>
      </c>
      <c r="H9" s="38">
        <v>10</v>
      </c>
      <c r="I9" s="26">
        <v>250</v>
      </c>
      <c r="J9" s="30">
        <f t="shared" ref="J9:J20" si="0">IF(B9="","",ROUND(N(H9)*N(I9),2))</f>
        <v>2500</v>
      </c>
      <c r="K9" s="26">
        <v>3000</v>
      </c>
      <c r="L9" s="30">
        <f t="shared" ref="L9:L20" si="1">IF(B9="","",N(G9)+N(J9)+N(K9))</f>
        <v>45500</v>
      </c>
      <c r="M9" s="26">
        <v>2000</v>
      </c>
      <c r="N9" s="26">
        <v>500</v>
      </c>
      <c r="O9" s="26">
        <v>10000</v>
      </c>
      <c r="P9" s="30">
        <v>60000</v>
      </c>
      <c r="Q9" s="30">
        <v>10000</v>
      </c>
      <c r="R9" s="30">
        <f>IF(B9="","",ROUND(SUMPRODUCT(('PY-15 Tax Slab Config'!$A$8:$A$11&lt;$L9)*(($L9&lt;'PY-15 Tax Slab Config'!$B$8:$B$11)*$L9+($L9&gt;='PY-15 Tax Slab Config'!$B$8:$B$11)*'PY-15 Tax Slab Config'!$B$8:$B$11-'PY-15 Tax Slab Config'!$A$8:$A$11)*'PY-15 Tax Slab Config'!$C$8:$C$11),2))</f>
        <v>3450</v>
      </c>
      <c r="S9" s="31">
        <f t="shared" ref="S9:S20" si="2">IF(B9="","",L9-N(M9)-N(N9)-N(O9)-R9)</f>
        <v>29550</v>
      </c>
      <c r="T9" s="23" t="str">
        <f t="shared" ref="T9:T20" si="3">IF(B9="","",IF(N(O9)&gt;N(Q9),"EXCEEDS APPROVED LIMIT",IF(N(O9)&gt;N(P9),"EXCEEDS BALANCE","OK")))</f>
        <v>OK</v>
      </c>
    </row>
    <row r="10" spans="1:20" ht="19.5" customHeight="1" x14ac:dyDescent="0.55000000000000004">
      <c r="A10" s="20">
        <v>2</v>
      </c>
      <c r="B10" s="24" t="s">
        <v>372</v>
      </c>
      <c r="C10" s="24" t="s">
        <v>373</v>
      </c>
      <c r="D10" s="24" t="s">
        <v>374</v>
      </c>
      <c r="E10" s="24" t="s">
        <v>375</v>
      </c>
      <c r="F10" s="24" t="s">
        <v>121</v>
      </c>
      <c r="G10" s="26">
        <v>25000</v>
      </c>
      <c r="H10" s="38">
        <v>20</v>
      </c>
      <c r="I10" s="26">
        <v>150</v>
      </c>
      <c r="J10" s="30">
        <f t="shared" si="0"/>
        <v>3000</v>
      </c>
      <c r="K10" s="26">
        <v>2000</v>
      </c>
      <c r="L10" s="30">
        <f t="shared" si="1"/>
        <v>30000</v>
      </c>
      <c r="M10" s="26">
        <v>0</v>
      </c>
      <c r="N10" s="26">
        <v>0</v>
      </c>
      <c r="O10" s="26">
        <v>0</v>
      </c>
      <c r="P10" s="30">
        <v>0</v>
      </c>
      <c r="Q10" s="30">
        <v>0</v>
      </c>
      <c r="R10" s="30">
        <f>IF(B10="","",ROUND(SUMPRODUCT(('PY-15 Tax Slab Config'!$A$8:$A$11&lt;$L10)*(($L10&lt;'PY-15 Tax Slab Config'!$B$8:$B$11)*$L10+($L10&gt;='PY-15 Tax Slab Config'!$B$8:$B$11)*'PY-15 Tax Slab Config'!$B$8:$B$11-'PY-15 Tax Slab Config'!$A$8:$A$11)*'PY-15 Tax Slab Config'!$C$8:$C$11),2))</f>
        <v>1900</v>
      </c>
      <c r="S10" s="31">
        <f t="shared" si="2"/>
        <v>28100</v>
      </c>
      <c r="T10" s="23" t="str">
        <f t="shared" si="3"/>
        <v>OK</v>
      </c>
    </row>
    <row r="11" spans="1:20" ht="19.5" customHeight="1" x14ac:dyDescent="0.55000000000000004">
      <c r="A11" s="20">
        <v>3</v>
      </c>
      <c r="B11" s="24" t="s">
        <v>376</v>
      </c>
      <c r="C11" s="24" t="s">
        <v>377</v>
      </c>
      <c r="D11" s="24" t="s">
        <v>378</v>
      </c>
      <c r="E11" s="24" t="s">
        <v>233</v>
      </c>
      <c r="F11" s="24" t="s">
        <v>284</v>
      </c>
      <c r="G11" s="26">
        <v>15000</v>
      </c>
      <c r="H11" s="38">
        <v>0</v>
      </c>
      <c r="I11" s="26">
        <v>0</v>
      </c>
      <c r="J11" s="30">
        <f t="shared" si="0"/>
        <v>0</v>
      </c>
      <c r="K11" s="26">
        <v>0</v>
      </c>
      <c r="L11" s="30">
        <f t="shared" si="1"/>
        <v>15000</v>
      </c>
      <c r="M11" s="26">
        <v>0</v>
      </c>
      <c r="N11" s="26">
        <v>0</v>
      </c>
      <c r="O11" s="26">
        <v>0</v>
      </c>
      <c r="P11" s="30">
        <v>0</v>
      </c>
      <c r="Q11" s="30">
        <v>0</v>
      </c>
      <c r="R11" s="30">
        <f>IF(B11="","",ROUND(SUMPRODUCT(('PY-15 Tax Slab Config'!$A$8:$A$11&lt;$L11)*(($L11&lt;'PY-15 Tax Slab Config'!$B$8:$B$11)*$L11+($L11&gt;='PY-15 Tax Slab Config'!$B$8:$B$11)*'PY-15 Tax Slab Config'!$B$8:$B$11-'PY-15 Tax Slab Config'!$A$8:$A$11)*'PY-15 Tax Slab Config'!$C$8:$C$11),2))</f>
        <v>400</v>
      </c>
      <c r="S11" s="31">
        <f t="shared" si="2"/>
        <v>14600</v>
      </c>
      <c r="T11" s="23" t="str">
        <f t="shared" si="3"/>
        <v>OK</v>
      </c>
    </row>
    <row r="12" spans="1:20" ht="19.5" customHeight="1" x14ac:dyDescent="0.55000000000000004">
      <c r="A12" s="20">
        <v>4</v>
      </c>
      <c r="B12" s="24" t="s">
        <v>379</v>
      </c>
      <c r="C12" s="24" t="s">
        <v>380</v>
      </c>
      <c r="D12" s="24" t="s">
        <v>381</v>
      </c>
      <c r="E12" s="24" t="s">
        <v>382</v>
      </c>
      <c r="F12" s="24" t="s">
        <v>121</v>
      </c>
      <c r="G12" s="26">
        <v>120000</v>
      </c>
      <c r="H12" s="38">
        <v>0</v>
      </c>
      <c r="I12" s="26">
        <v>0</v>
      </c>
      <c r="J12" s="30">
        <f t="shared" si="0"/>
        <v>0</v>
      </c>
      <c r="K12" s="26">
        <v>10000</v>
      </c>
      <c r="L12" s="30">
        <f t="shared" si="1"/>
        <v>130000</v>
      </c>
      <c r="M12" s="26">
        <v>0</v>
      </c>
      <c r="N12" s="26">
        <v>0</v>
      </c>
      <c r="O12" s="26">
        <v>0</v>
      </c>
      <c r="P12" s="30">
        <v>0</v>
      </c>
      <c r="Q12" s="30">
        <v>0</v>
      </c>
      <c r="R12" s="30">
        <f>IF(B12="","",ROUND(SUMPRODUCT(('PY-15 Tax Slab Config'!$A$8:$A$11&lt;$L12)*(($L12&lt;'PY-15 Tax Slab Config'!$B$8:$B$11)*$L12+($L12&gt;='PY-15 Tax Slab Config'!$B$8:$B$11)*'PY-15 Tax Slab Config'!$B$8:$B$11-'PY-15 Tax Slab Config'!$A$8:$A$11)*'PY-15 Tax Slab Config'!$C$8:$C$11),2))</f>
        <v>14900</v>
      </c>
      <c r="S12" s="31">
        <f t="shared" si="2"/>
        <v>115100</v>
      </c>
      <c r="T12" s="23" t="str">
        <f t="shared" si="3"/>
        <v>OK</v>
      </c>
    </row>
    <row r="13" spans="1:20" ht="19.5" customHeight="1" x14ac:dyDescent="0.55000000000000004">
      <c r="A13" s="20">
        <v>5</v>
      </c>
      <c r="B13" s="15"/>
      <c r="C13" s="15"/>
      <c r="D13" s="15"/>
      <c r="E13" s="15"/>
      <c r="F13" s="15"/>
      <c r="G13" s="27"/>
      <c r="H13" s="39"/>
      <c r="I13" s="27"/>
      <c r="J13" s="30" t="str">
        <f t="shared" si="0"/>
        <v/>
      </c>
      <c r="K13" s="27"/>
      <c r="L13" s="30" t="str">
        <f t="shared" si="1"/>
        <v/>
      </c>
      <c r="M13" s="27"/>
      <c r="N13" s="27"/>
      <c r="O13" s="27"/>
      <c r="P13" s="30"/>
      <c r="Q13" s="30"/>
      <c r="R13" s="30" t="str">
        <f>IF(B13="","",ROUND(SUMPRODUCT(('PY-15 Tax Slab Config'!$A$8:$A$11&lt;$L13)*(($L13&lt;'PY-15 Tax Slab Config'!$B$8:$B$11)*$L13+($L13&gt;='PY-15 Tax Slab Config'!$B$8:$B$11)*'PY-15 Tax Slab Config'!$B$8:$B$11-'PY-15 Tax Slab Config'!$A$8:$A$11)*'PY-15 Tax Slab Config'!$C$8:$C$11),2))</f>
        <v/>
      </c>
      <c r="S13" s="31" t="str">
        <f t="shared" si="2"/>
        <v/>
      </c>
      <c r="T13" s="23" t="str">
        <f t="shared" si="3"/>
        <v/>
      </c>
    </row>
    <row r="14" spans="1:20" ht="19.5" customHeight="1" x14ac:dyDescent="0.55000000000000004">
      <c r="A14" s="20">
        <v>6</v>
      </c>
      <c r="B14" s="15"/>
      <c r="C14" s="15"/>
      <c r="D14" s="15"/>
      <c r="E14" s="15"/>
      <c r="F14" s="15"/>
      <c r="G14" s="27"/>
      <c r="H14" s="39"/>
      <c r="I14" s="27"/>
      <c r="J14" s="30" t="str">
        <f t="shared" si="0"/>
        <v/>
      </c>
      <c r="K14" s="27"/>
      <c r="L14" s="30" t="str">
        <f t="shared" si="1"/>
        <v/>
      </c>
      <c r="M14" s="27"/>
      <c r="N14" s="27"/>
      <c r="O14" s="27"/>
      <c r="P14" s="30"/>
      <c r="Q14" s="30"/>
      <c r="R14" s="30" t="str">
        <f>IF(B14="","",ROUND(SUMPRODUCT(('PY-15 Tax Slab Config'!$A$8:$A$11&lt;$L14)*(($L14&lt;'PY-15 Tax Slab Config'!$B$8:$B$11)*$L14+($L14&gt;='PY-15 Tax Slab Config'!$B$8:$B$11)*'PY-15 Tax Slab Config'!$B$8:$B$11-'PY-15 Tax Slab Config'!$A$8:$A$11)*'PY-15 Tax Slab Config'!$C$8:$C$11),2))</f>
        <v/>
      </c>
      <c r="S14" s="31" t="str">
        <f t="shared" si="2"/>
        <v/>
      </c>
      <c r="T14" s="23" t="str">
        <f t="shared" si="3"/>
        <v/>
      </c>
    </row>
    <row r="15" spans="1:20" ht="19.5" customHeight="1" x14ac:dyDescent="0.55000000000000004">
      <c r="A15" s="20">
        <v>7</v>
      </c>
      <c r="B15" s="15"/>
      <c r="C15" s="15"/>
      <c r="D15" s="15"/>
      <c r="E15" s="15"/>
      <c r="F15" s="15"/>
      <c r="G15" s="27"/>
      <c r="H15" s="39"/>
      <c r="I15" s="27"/>
      <c r="J15" s="30" t="str">
        <f t="shared" si="0"/>
        <v/>
      </c>
      <c r="K15" s="27"/>
      <c r="L15" s="30" t="str">
        <f t="shared" si="1"/>
        <v/>
      </c>
      <c r="M15" s="27"/>
      <c r="N15" s="27"/>
      <c r="O15" s="27"/>
      <c r="P15" s="30"/>
      <c r="Q15" s="30"/>
      <c r="R15" s="30" t="str">
        <f>IF(B15="","",ROUND(SUMPRODUCT(('PY-15 Tax Slab Config'!$A$8:$A$11&lt;$L15)*(($L15&lt;'PY-15 Tax Slab Config'!$B$8:$B$11)*$L15+($L15&gt;='PY-15 Tax Slab Config'!$B$8:$B$11)*'PY-15 Tax Slab Config'!$B$8:$B$11-'PY-15 Tax Slab Config'!$A$8:$A$11)*'PY-15 Tax Slab Config'!$C$8:$C$11),2))</f>
        <v/>
      </c>
      <c r="S15" s="31" t="str">
        <f t="shared" si="2"/>
        <v/>
      </c>
      <c r="T15" s="23" t="str">
        <f t="shared" si="3"/>
        <v/>
      </c>
    </row>
    <row r="16" spans="1:20" ht="19.5" customHeight="1" x14ac:dyDescent="0.55000000000000004">
      <c r="A16" s="20">
        <v>8</v>
      </c>
      <c r="B16" s="15"/>
      <c r="C16" s="15"/>
      <c r="D16" s="15"/>
      <c r="E16" s="15"/>
      <c r="F16" s="15"/>
      <c r="G16" s="27"/>
      <c r="H16" s="39"/>
      <c r="I16" s="27"/>
      <c r="J16" s="30" t="str">
        <f t="shared" si="0"/>
        <v/>
      </c>
      <c r="K16" s="27"/>
      <c r="L16" s="30" t="str">
        <f t="shared" si="1"/>
        <v/>
      </c>
      <c r="M16" s="27"/>
      <c r="N16" s="27"/>
      <c r="O16" s="27"/>
      <c r="P16" s="30"/>
      <c r="Q16" s="30"/>
      <c r="R16" s="30" t="str">
        <f>IF(B16="","",ROUND(SUMPRODUCT(('PY-15 Tax Slab Config'!$A$8:$A$11&lt;$L16)*(($L16&lt;'PY-15 Tax Slab Config'!$B$8:$B$11)*$L16+($L16&gt;='PY-15 Tax Slab Config'!$B$8:$B$11)*'PY-15 Tax Slab Config'!$B$8:$B$11-'PY-15 Tax Slab Config'!$A$8:$A$11)*'PY-15 Tax Slab Config'!$C$8:$C$11),2))</f>
        <v/>
      </c>
      <c r="S16" s="31" t="str">
        <f t="shared" si="2"/>
        <v/>
      </c>
      <c r="T16" s="23" t="str">
        <f t="shared" si="3"/>
        <v/>
      </c>
    </row>
    <row r="17" spans="1:20" ht="19.5" customHeight="1" x14ac:dyDescent="0.55000000000000004">
      <c r="A17" s="20">
        <v>9</v>
      </c>
      <c r="B17" s="15"/>
      <c r="C17" s="15"/>
      <c r="D17" s="15"/>
      <c r="E17" s="15"/>
      <c r="F17" s="15"/>
      <c r="G17" s="27"/>
      <c r="H17" s="39"/>
      <c r="I17" s="27"/>
      <c r="J17" s="30" t="str">
        <f t="shared" si="0"/>
        <v/>
      </c>
      <c r="K17" s="27"/>
      <c r="L17" s="30" t="str">
        <f t="shared" si="1"/>
        <v/>
      </c>
      <c r="M17" s="27"/>
      <c r="N17" s="27"/>
      <c r="O17" s="27"/>
      <c r="P17" s="30"/>
      <c r="Q17" s="30"/>
      <c r="R17" s="30" t="str">
        <f>IF(B17="","",ROUND(SUMPRODUCT(('PY-15 Tax Slab Config'!$A$8:$A$11&lt;$L17)*(($L17&lt;'PY-15 Tax Slab Config'!$B$8:$B$11)*$L17+($L17&gt;='PY-15 Tax Slab Config'!$B$8:$B$11)*'PY-15 Tax Slab Config'!$B$8:$B$11-'PY-15 Tax Slab Config'!$A$8:$A$11)*'PY-15 Tax Slab Config'!$C$8:$C$11),2))</f>
        <v/>
      </c>
      <c r="S17" s="31" t="str">
        <f t="shared" si="2"/>
        <v/>
      </c>
      <c r="T17" s="23" t="str">
        <f t="shared" si="3"/>
        <v/>
      </c>
    </row>
    <row r="18" spans="1:20" ht="19.5" customHeight="1" x14ac:dyDescent="0.55000000000000004">
      <c r="A18" s="20">
        <v>10</v>
      </c>
      <c r="B18" s="15"/>
      <c r="C18" s="15"/>
      <c r="D18" s="15"/>
      <c r="E18" s="15"/>
      <c r="F18" s="15"/>
      <c r="G18" s="27"/>
      <c r="H18" s="39"/>
      <c r="I18" s="27"/>
      <c r="J18" s="30" t="str">
        <f t="shared" si="0"/>
        <v/>
      </c>
      <c r="K18" s="27"/>
      <c r="L18" s="30" t="str">
        <f t="shared" si="1"/>
        <v/>
      </c>
      <c r="M18" s="27"/>
      <c r="N18" s="27"/>
      <c r="O18" s="27"/>
      <c r="P18" s="30"/>
      <c r="Q18" s="30"/>
      <c r="R18" s="30" t="str">
        <f>IF(B18="","",ROUND(SUMPRODUCT(('PY-15 Tax Slab Config'!$A$8:$A$11&lt;$L18)*(($L18&lt;'PY-15 Tax Slab Config'!$B$8:$B$11)*$L18+($L18&gt;='PY-15 Tax Slab Config'!$B$8:$B$11)*'PY-15 Tax Slab Config'!$B$8:$B$11-'PY-15 Tax Slab Config'!$A$8:$A$11)*'PY-15 Tax Slab Config'!$C$8:$C$11),2))</f>
        <v/>
      </c>
      <c r="S18" s="31" t="str">
        <f t="shared" si="2"/>
        <v/>
      </c>
      <c r="T18" s="23" t="str">
        <f t="shared" si="3"/>
        <v/>
      </c>
    </row>
    <row r="19" spans="1:20" ht="19.5" customHeight="1" x14ac:dyDescent="0.55000000000000004">
      <c r="A19" s="20">
        <v>11</v>
      </c>
      <c r="B19" s="15"/>
      <c r="C19" s="15"/>
      <c r="D19" s="15"/>
      <c r="E19" s="15"/>
      <c r="F19" s="15"/>
      <c r="G19" s="27"/>
      <c r="H19" s="39"/>
      <c r="I19" s="27"/>
      <c r="J19" s="30" t="str">
        <f t="shared" si="0"/>
        <v/>
      </c>
      <c r="K19" s="27"/>
      <c r="L19" s="30" t="str">
        <f t="shared" si="1"/>
        <v/>
      </c>
      <c r="M19" s="27"/>
      <c r="N19" s="27"/>
      <c r="O19" s="27"/>
      <c r="P19" s="30"/>
      <c r="Q19" s="30"/>
      <c r="R19" s="30" t="str">
        <f>IF(B19="","",ROUND(SUMPRODUCT(('PY-15 Tax Slab Config'!$A$8:$A$11&lt;$L19)*(($L19&lt;'PY-15 Tax Slab Config'!$B$8:$B$11)*$L19+($L19&gt;='PY-15 Tax Slab Config'!$B$8:$B$11)*'PY-15 Tax Slab Config'!$B$8:$B$11-'PY-15 Tax Slab Config'!$A$8:$A$11)*'PY-15 Tax Slab Config'!$C$8:$C$11),2))</f>
        <v/>
      </c>
      <c r="S19" s="31" t="str">
        <f t="shared" si="2"/>
        <v/>
      </c>
      <c r="T19" s="23" t="str">
        <f t="shared" si="3"/>
        <v/>
      </c>
    </row>
    <row r="20" spans="1:20" ht="19.5" customHeight="1" x14ac:dyDescent="0.55000000000000004">
      <c r="A20" s="20">
        <v>12</v>
      </c>
      <c r="B20" s="15"/>
      <c r="C20" s="15"/>
      <c r="D20" s="15"/>
      <c r="E20" s="15"/>
      <c r="F20" s="15"/>
      <c r="G20" s="27"/>
      <c r="H20" s="39"/>
      <c r="I20" s="27"/>
      <c r="J20" s="30" t="str">
        <f t="shared" si="0"/>
        <v/>
      </c>
      <c r="K20" s="27"/>
      <c r="L20" s="30" t="str">
        <f t="shared" si="1"/>
        <v/>
      </c>
      <c r="M20" s="27"/>
      <c r="N20" s="27"/>
      <c r="O20" s="27"/>
      <c r="P20" s="30"/>
      <c r="Q20" s="30"/>
      <c r="R20" s="30" t="str">
        <f>IF(B20="","",ROUND(SUMPRODUCT(('PY-15 Tax Slab Config'!$A$8:$A$11&lt;$L20)*(($L20&lt;'PY-15 Tax Slab Config'!$B$8:$B$11)*$L20+($L20&gt;='PY-15 Tax Slab Config'!$B$8:$B$11)*'PY-15 Tax Slab Config'!$B$8:$B$11-'PY-15 Tax Slab Config'!$A$8:$A$11)*'PY-15 Tax Slab Config'!$C$8:$C$11),2))</f>
        <v/>
      </c>
      <c r="S20" s="31" t="str">
        <f t="shared" si="2"/>
        <v/>
      </c>
      <c r="T20" s="23" t="str">
        <f t="shared" si="3"/>
        <v/>
      </c>
    </row>
    <row r="21" spans="1:20" ht="18" customHeight="1" x14ac:dyDescent="0.55000000000000004">
      <c r="A21" s="60" t="s">
        <v>285</v>
      </c>
      <c r="B21" s="60"/>
      <c r="C21" s="60"/>
      <c r="D21" s="60"/>
      <c r="E21" s="60"/>
      <c r="F21" s="60"/>
      <c r="G21" s="37">
        <f>SUM(G9:G20)</f>
        <v>200000</v>
      </c>
      <c r="H21" s="40">
        <f>SUM(H9:H20)</f>
        <v>30</v>
      </c>
      <c r="I21" s="34"/>
      <c r="J21" s="37">
        <f t="shared" ref="J21:O21" si="4">SUM(J9:J20)</f>
        <v>5500</v>
      </c>
      <c r="K21" s="37">
        <f t="shared" si="4"/>
        <v>15000</v>
      </c>
      <c r="L21" s="37">
        <f t="shared" si="4"/>
        <v>220500</v>
      </c>
      <c r="M21" s="37">
        <f t="shared" si="4"/>
        <v>2000</v>
      </c>
      <c r="N21" s="37">
        <f t="shared" si="4"/>
        <v>500</v>
      </c>
      <c r="O21" s="37">
        <f t="shared" si="4"/>
        <v>10000</v>
      </c>
      <c r="P21" s="34"/>
      <c r="Q21" s="34"/>
      <c r="R21" s="37">
        <f>SUM(R9:R20)</f>
        <v>20650</v>
      </c>
      <c r="S21" s="37">
        <f>SUM(S9:S20)</f>
        <v>187350</v>
      </c>
      <c r="T21" s="34"/>
    </row>
    <row r="23" spans="1:20" ht="30.75" customHeight="1" x14ac:dyDescent="0.55000000000000004">
      <c r="A23" s="49" t="s">
        <v>171</v>
      </c>
      <c r="B23" s="49"/>
      <c r="C23" s="49"/>
      <c r="D23" s="49"/>
      <c r="E23" s="49"/>
      <c r="F23" s="49"/>
      <c r="G23" s="49"/>
      <c r="H23" s="49" t="s">
        <v>383</v>
      </c>
      <c r="I23" s="49"/>
      <c r="J23" s="49"/>
      <c r="K23" s="49"/>
      <c r="L23" s="49"/>
      <c r="M23" s="49"/>
      <c r="N23" s="49"/>
      <c r="O23" s="49"/>
      <c r="P23" s="49" t="s">
        <v>384</v>
      </c>
      <c r="Q23" s="49"/>
      <c r="R23" s="49"/>
      <c r="S23" s="49"/>
      <c r="T23" s="49"/>
    </row>
    <row r="24" spans="1:20" ht="19.5" customHeight="1" x14ac:dyDescent="0.55000000000000004">
      <c r="A24" s="8" t="s">
        <v>143</v>
      </c>
      <c r="B24" s="8"/>
      <c r="C24" s="8"/>
      <c r="D24" s="8"/>
      <c r="E24" s="8"/>
      <c r="F24" s="8"/>
      <c r="G24" s="8"/>
      <c r="H24" s="8" t="s">
        <v>143</v>
      </c>
      <c r="I24" s="8"/>
      <c r="J24" s="8"/>
      <c r="K24" s="8"/>
      <c r="L24" s="8"/>
      <c r="M24" s="8"/>
      <c r="N24" s="8"/>
      <c r="O24" s="8"/>
      <c r="P24" s="8" t="s">
        <v>143</v>
      </c>
      <c r="Q24" s="8"/>
      <c r="R24" s="8"/>
      <c r="S24" s="8"/>
      <c r="T24" s="8"/>
    </row>
    <row r="25" spans="1:20" ht="19.5" customHeight="1" x14ac:dyDescent="0.55000000000000004">
      <c r="A25" s="8" t="s">
        <v>144</v>
      </c>
      <c r="B25" s="8"/>
      <c r="C25" s="8"/>
      <c r="D25" s="8"/>
      <c r="E25" s="8"/>
      <c r="F25" s="8"/>
      <c r="G25" s="8"/>
      <c r="H25" s="8" t="s">
        <v>144</v>
      </c>
      <c r="I25" s="8"/>
      <c r="J25" s="8"/>
      <c r="K25" s="8"/>
      <c r="L25" s="8"/>
      <c r="M25" s="8"/>
      <c r="N25" s="8"/>
      <c r="O25" s="8"/>
      <c r="P25" s="8" t="s">
        <v>144</v>
      </c>
      <c r="Q25" s="8"/>
      <c r="R25" s="8"/>
      <c r="S25" s="8"/>
      <c r="T25" s="8"/>
    </row>
    <row r="26" spans="1:20" ht="43.5" customHeight="1" x14ac:dyDescent="0.55000000000000004">
      <c r="A26" s="50" t="s">
        <v>145</v>
      </c>
      <c r="B26" s="50"/>
      <c r="C26" s="50"/>
      <c r="D26" s="50"/>
      <c r="E26" s="50"/>
      <c r="F26" s="50"/>
      <c r="G26" s="50"/>
      <c r="H26" s="50" t="s">
        <v>145</v>
      </c>
      <c r="I26" s="50"/>
      <c r="J26" s="50"/>
      <c r="K26" s="50"/>
      <c r="L26" s="50"/>
      <c r="M26" s="50"/>
      <c r="N26" s="50"/>
      <c r="O26" s="50"/>
      <c r="P26" s="50" t="s">
        <v>145</v>
      </c>
      <c r="Q26" s="50"/>
      <c r="R26" s="50"/>
      <c r="S26" s="50"/>
      <c r="T26" s="50"/>
    </row>
    <row r="27" spans="1:20" ht="19.5" customHeight="1" x14ac:dyDescent="0.55000000000000004">
      <c r="A27" s="8" t="s">
        <v>146</v>
      </c>
      <c r="B27" s="8"/>
      <c r="C27" s="8"/>
      <c r="D27" s="8"/>
      <c r="E27" s="8"/>
      <c r="F27" s="8"/>
      <c r="G27" s="8"/>
      <c r="H27" s="8" t="s">
        <v>146</v>
      </c>
      <c r="I27" s="8"/>
      <c r="J27" s="8"/>
      <c r="K27" s="8"/>
      <c r="L27" s="8"/>
      <c r="M27" s="8"/>
      <c r="N27" s="8"/>
      <c r="O27" s="8"/>
      <c r="P27" s="8" t="s">
        <v>146</v>
      </c>
      <c r="Q27" s="8"/>
      <c r="R27" s="8"/>
      <c r="S27" s="8"/>
      <c r="T27" s="8"/>
    </row>
    <row r="29" spans="1:20" ht="18" customHeight="1" x14ac:dyDescent="0.55000000000000004">
      <c r="A29" s="9" t="s">
        <v>147</v>
      </c>
      <c r="B29" s="9"/>
      <c r="C29" s="9"/>
      <c r="D29" s="9"/>
      <c r="E29" s="9"/>
      <c r="F29" s="9"/>
      <c r="G29" s="9"/>
      <c r="H29" s="9"/>
      <c r="I29" s="9"/>
      <c r="J29" s="9"/>
      <c r="K29" s="9"/>
      <c r="L29" s="9"/>
      <c r="M29" s="9"/>
      <c r="N29" s="9"/>
      <c r="O29" s="9"/>
      <c r="P29" s="9"/>
      <c r="Q29" s="9"/>
      <c r="R29" s="9"/>
      <c r="S29" s="9"/>
      <c r="T29" s="9"/>
    </row>
    <row r="30" spans="1:20" ht="30.75" customHeight="1" x14ac:dyDescent="0.55000000000000004">
      <c r="A30" s="7" t="s">
        <v>385</v>
      </c>
      <c r="B30" s="7"/>
      <c r="C30" s="7"/>
      <c r="D30" s="7"/>
      <c r="E30" s="7"/>
      <c r="F30" s="7"/>
      <c r="G30" s="7"/>
      <c r="H30" s="7"/>
      <c r="I30" s="7"/>
      <c r="J30" s="7"/>
      <c r="K30" s="7"/>
      <c r="L30" s="7"/>
      <c r="M30" s="7"/>
      <c r="N30" s="7"/>
      <c r="O30" s="7"/>
      <c r="P30" s="7"/>
      <c r="Q30" s="7"/>
      <c r="R30" s="7"/>
      <c r="S30" s="7"/>
      <c r="T30" s="7"/>
    </row>
    <row r="31" spans="1:20" ht="30.75" customHeight="1" x14ac:dyDescent="0.55000000000000004">
      <c r="A31" s="7" t="s">
        <v>386</v>
      </c>
      <c r="B31" s="7"/>
      <c r="C31" s="7"/>
      <c r="D31" s="7"/>
      <c r="E31" s="7"/>
      <c r="F31" s="7"/>
      <c r="G31" s="7"/>
      <c r="H31" s="7"/>
      <c r="I31" s="7"/>
      <c r="J31" s="7"/>
      <c r="K31" s="7"/>
      <c r="L31" s="7"/>
      <c r="M31" s="7"/>
      <c r="N31" s="7"/>
      <c r="O31" s="7"/>
      <c r="P31" s="7"/>
      <c r="Q31" s="7"/>
      <c r="R31" s="7"/>
      <c r="S31" s="7"/>
      <c r="T31" s="7"/>
    </row>
    <row r="32" spans="1:20" ht="30" customHeight="1" x14ac:dyDescent="0.55000000000000004">
      <c r="A32" s="7" t="s">
        <v>387</v>
      </c>
      <c r="B32" s="7"/>
      <c r="C32" s="7"/>
      <c r="D32" s="7"/>
      <c r="E32" s="7"/>
      <c r="F32" s="7"/>
      <c r="G32" s="7"/>
      <c r="H32" s="7"/>
      <c r="I32" s="7"/>
      <c r="J32" s="7"/>
      <c r="K32" s="7"/>
      <c r="L32" s="7"/>
      <c r="M32" s="7"/>
      <c r="N32" s="7"/>
      <c r="O32" s="7"/>
      <c r="P32" s="7"/>
      <c r="Q32" s="7"/>
      <c r="R32" s="7"/>
      <c r="S32" s="7"/>
      <c r="T32" s="7"/>
    </row>
    <row r="33" spans="1:20" ht="30" customHeight="1" x14ac:dyDescent="0.55000000000000004">
      <c r="A33" s="7" t="s">
        <v>388</v>
      </c>
      <c r="B33" s="7"/>
      <c r="C33" s="7"/>
      <c r="D33" s="7"/>
      <c r="E33" s="7"/>
      <c r="F33" s="7"/>
      <c r="G33" s="7"/>
      <c r="H33" s="7"/>
      <c r="I33" s="7"/>
      <c r="J33" s="7"/>
      <c r="K33" s="7"/>
      <c r="L33" s="7"/>
      <c r="M33" s="7"/>
      <c r="N33" s="7"/>
      <c r="O33" s="7"/>
      <c r="P33" s="7"/>
      <c r="Q33" s="7"/>
      <c r="R33" s="7"/>
      <c r="S33" s="7"/>
      <c r="T33" s="7"/>
    </row>
    <row r="34" spans="1:20" ht="30.75" customHeight="1" x14ac:dyDescent="0.55000000000000004">
      <c r="A34" s="7" t="s">
        <v>389</v>
      </c>
      <c r="B34" s="7"/>
      <c r="C34" s="7"/>
      <c r="D34" s="7"/>
      <c r="E34" s="7"/>
      <c r="F34" s="7"/>
      <c r="G34" s="7"/>
      <c r="H34" s="7"/>
      <c r="I34" s="7"/>
      <c r="J34" s="7"/>
      <c r="K34" s="7"/>
      <c r="L34" s="7"/>
      <c r="M34" s="7"/>
      <c r="N34" s="7"/>
      <c r="O34" s="7"/>
      <c r="P34" s="7"/>
      <c r="Q34" s="7"/>
      <c r="R34" s="7"/>
      <c r="S34" s="7"/>
      <c r="T34" s="7"/>
    </row>
  </sheetData>
  <mergeCells count="34">
    <mergeCell ref="A31:T31"/>
    <mergeCell ref="A32:T32"/>
    <mergeCell ref="A33:T33"/>
    <mergeCell ref="A34:T34"/>
    <mergeCell ref="A27:G27"/>
    <mergeCell ref="H27:O27"/>
    <mergeCell ref="P27:T27"/>
    <mergeCell ref="A29:T29"/>
    <mergeCell ref="A30:T30"/>
    <mergeCell ref="A25:G25"/>
    <mergeCell ref="H25:O25"/>
    <mergeCell ref="P25:T25"/>
    <mergeCell ref="A26:G26"/>
    <mergeCell ref="H26:O26"/>
    <mergeCell ref="P26:T26"/>
    <mergeCell ref="A23:G23"/>
    <mergeCell ref="H23:O23"/>
    <mergeCell ref="P23:T23"/>
    <mergeCell ref="A24:G24"/>
    <mergeCell ref="H24:O24"/>
    <mergeCell ref="P24:T24"/>
    <mergeCell ref="A6:C6"/>
    <mergeCell ref="D6:F6"/>
    <mergeCell ref="G6:K6"/>
    <mergeCell ref="L6:T6"/>
    <mergeCell ref="A21:F21"/>
    <mergeCell ref="A1:B3"/>
    <mergeCell ref="C1:T1"/>
    <mergeCell ref="C2:T2"/>
    <mergeCell ref="C3:T3"/>
    <mergeCell ref="A5:C5"/>
    <mergeCell ref="D5:F5"/>
    <mergeCell ref="G5:K5"/>
    <mergeCell ref="L5:T5"/>
  </mergeCells>
  <dataValidations count="1">
    <dataValidation type="list" allowBlank="1" sqref="F9:F20" xr:uid="{00000000-0002-0000-0900-000000000000}">
      <formula1>"Permanent,Temporary"</formula1>
      <formula2>0</formula2>
    </dataValidation>
  </dataValidations>
  <pageMargins left="0.5" right="0.5" top="1" bottom="1" header="0.511811023622047" footer="0.5"/>
  <pageSetup paperSize="9" fitToHeight="0" orientation="landscape" horizontalDpi="300" verticalDpi="300"/>
  <headerFooter>
    <oddFooter>&amp;LPY-09 | Crest Point Consulting Group&amp;CPage &amp;P of &amp;N&amp;RStrictly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pageSetUpPr fitToPage="1"/>
  </sheetPr>
  <dimension ref="A1:F29"/>
  <sheetViews>
    <sheetView showGridLines="0" zoomScaleNormal="100" workbookViewId="0">
      <selection sqref="A1:B3"/>
    </sheetView>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104</v>
      </c>
      <c r="B1" s="6"/>
      <c r="C1" s="5" t="s">
        <v>0</v>
      </c>
      <c r="D1" s="5"/>
      <c r="E1" s="5"/>
      <c r="F1" s="5"/>
    </row>
    <row r="2" spans="1:6" ht="21.75" customHeight="1" x14ac:dyDescent="0.55000000000000004">
      <c r="A2" s="6"/>
      <c r="B2" s="6"/>
      <c r="C2" s="4" t="s">
        <v>390</v>
      </c>
      <c r="D2" s="4"/>
      <c r="E2" s="4"/>
      <c r="F2" s="4"/>
    </row>
    <row r="3" spans="1:6" ht="30.75" customHeight="1" x14ac:dyDescent="0.55000000000000004">
      <c r="A3" s="6"/>
      <c r="B3" s="6"/>
      <c r="C3" s="3" t="s">
        <v>391</v>
      </c>
      <c r="D3" s="3"/>
      <c r="E3" s="3"/>
      <c r="F3" s="3"/>
    </row>
    <row r="5" spans="1:6" ht="19.5" customHeight="1" x14ac:dyDescent="0.55000000000000004">
      <c r="A5" s="9" t="s">
        <v>350</v>
      </c>
      <c r="B5" s="9"/>
      <c r="C5" s="23" t="s">
        <v>392</v>
      </c>
      <c r="D5" s="13" t="s">
        <v>352</v>
      </c>
      <c r="E5" s="51" t="s">
        <v>218</v>
      </c>
      <c r="F5" s="51"/>
    </row>
    <row r="7" spans="1:6" ht="30.75" customHeight="1" x14ac:dyDescent="0.55000000000000004">
      <c r="A7" s="19" t="s">
        <v>132</v>
      </c>
      <c r="B7" s="19" t="s">
        <v>393</v>
      </c>
      <c r="C7" s="19" t="s">
        <v>394</v>
      </c>
      <c r="D7" s="19" t="s">
        <v>395</v>
      </c>
      <c r="E7" s="19" t="s">
        <v>396</v>
      </c>
      <c r="F7" s="19" t="s">
        <v>397</v>
      </c>
    </row>
    <row r="8" spans="1:6" ht="21.75" customHeight="1" x14ac:dyDescent="0.55000000000000004">
      <c r="A8" s="20">
        <v>1</v>
      </c>
      <c r="B8" s="24" t="s">
        <v>375</v>
      </c>
      <c r="C8" s="24" t="s">
        <v>218</v>
      </c>
      <c r="D8" s="24" t="s">
        <v>398</v>
      </c>
      <c r="E8" s="26">
        <v>185000</v>
      </c>
      <c r="F8" s="24" t="s">
        <v>399</v>
      </c>
    </row>
    <row r="9" spans="1:6" ht="21.75" customHeight="1" x14ac:dyDescent="0.55000000000000004">
      <c r="A9" s="20">
        <v>2</v>
      </c>
      <c r="B9" s="24" t="s">
        <v>382</v>
      </c>
      <c r="C9" s="24" t="s">
        <v>218</v>
      </c>
      <c r="D9" s="24" t="s">
        <v>400</v>
      </c>
      <c r="E9" s="26">
        <v>240500</v>
      </c>
      <c r="F9" s="24" t="s">
        <v>399</v>
      </c>
    </row>
    <row r="10" spans="1:6" ht="21.75" customHeight="1" x14ac:dyDescent="0.55000000000000004">
      <c r="A10" s="20">
        <v>3</v>
      </c>
      <c r="B10" s="24" t="s">
        <v>401</v>
      </c>
      <c r="C10" s="24" t="s">
        <v>218</v>
      </c>
      <c r="D10" s="24" t="s">
        <v>402</v>
      </c>
      <c r="E10" s="26">
        <v>96000</v>
      </c>
      <c r="F10" s="24" t="s">
        <v>403</v>
      </c>
    </row>
    <row r="11" spans="1:6" ht="21.75" customHeight="1" x14ac:dyDescent="0.55000000000000004">
      <c r="A11" s="20">
        <v>4</v>
      </c>
      <c r="B11" s="15"/>
      <c r="C11" s="15"/>
      <c r="D11" s="15"/>
      <c r="E11" s="27"/>
      <c r="F11" s="15"/>
    </row>
    <row r="12" spans="1:6" ht="21.75" customHeight="1" x14ac:dyDescent="0.55000000000000004">
      <c r="A12" s="20">
        <v>5</v>
      </c>
      <c r="B12" s="15"/>
      <c r="C12" s="15"/>
      <c r="D12" s="15"/>
      <c r="E12" s="27"/>
      <c r="F12" s="15"/>
    </row>
    <row r="13" spans="1:6" ht="21.75" customHeight="1" x14ac:dyDescent="0.55000000000000004">
      <c r="A13" s="20">
        <v>6</v>
      </c>
      <c r="B13" s="15"/>
      <c r="C13" s="15"/>
      <c r="D13" s="15"/>
      <c r="E13" s="27"/>
      <c r="F13" s="15"/>
    </row>
    <row r="14" spans="1:6" ht="18" customHeight="1" x14ac:dyDescent="0.55000000000000004">
      <c r="A14" s="60" t="s">
        <v>404</v>
      </c>
      <c r="B14" s="60"/>
      <c r="C14" s="60"/>
      <c r="D14" s="60"/>
      <c r="E14" s="37">
        <f>SUM(E8:E13)</f>
        <v>521500</v>
      </c>
      <c r="F14" s="34"/>
    </row>
    <row r="15" spans="1:6" ht="18" customHeight="1" x14ac:dyDescent="0.55000000000000004">
      <c r="A15" s="60" t="s">
        <v>405</v>
      </c>
      <c r="B15" s="60"/>
      <c r="C15" s="60"/>
      <c r="D15" s="60"/>
      <c r="E15" s="30">
        <f>SUMIF(F8:F13,"Yes",E8:E13)</f>
        <v>425500</v>
      </c>
      <c r="F15" s="15"/>
    </row>
    <row r="16" spans="1:6" ht="18" customHeight="1" x14ac:dyDescent="0.55000000000000004">
      <c r="A16" s="60" t="s">
        <v>406</v>
      </c>
      <c r="B16" s="60"/>
      <c r="C16" s="60"/>
      <c r="D16" s="60"/>
      <c r="E16" s="30">
        <f>E14-E15</f>
        <v>96000</v>
      </c>
      <c r="F16" s="15"/>
    </row>
    <row r="18" spans="1:6" ht="24" customHeight="1" x14ac:dyDescent="0.55000000000000004">
      <c r="A18" s="9" t="s">
        <v>407</v>
      </c>
      <c r="B18" s="9"/>
      <c r="C18" s="51" t="s">
        <v>408</v>
      </c>
      <c r="D18" s="51"/>
      <c r="E18" s="51"/>
      <c r="F18" s="51"/>
    </row>
    <row r="20" spans="1:6" ht="30.75" customHeight="1" x14ac:dyDescent="0.55000000000000004">
      <c r="A20" s="49" t="s">
        <v>409</v>
      </c>
      <c r="B20" s="49"/>
      <c r="C20" s="49"/>
      <c r="D20" s="28" t="s">
        <v>410</v>
      </c>
      <c r="E20" s="49" t="s">
        <v>384</v>
      </c>
      <c r="F20" s="49"/>
    </row>
    <row r="21" spans="1:6" ht="19.5" customHeight="1" x14ac:dyDescent="0.55000000000000004">
      <c r="A21" s="8" t="s">
        <v>143</v>
      </c>
      <c r="B21" s="8"/>
      <c r="C21" s="8"/>
      <c r="D21" s="15" t="s">
        <v>143</v>
      </c>
      <c r="E21" s="8" t="s">
        <v>143</v>
      </c>
      <c r="F21" s="8"/>
    </row>
    <row r="22" spans="1:6" ht="19.5" customHeight="1" x14ac:dyDescent="0.55000000000000004">
      <c r="A22" s="8" t="s">
        <v>144</v>
      </c>
      <c r="B22" s="8"/>
      <c r="C22" s="8"/>
      <c r="D22" s="15" t="s">
        <v>144</v>
      </c>
      <c r="E22" s="8" t="s">
        <v>144</v>
      </c>
      <c r="F22" s="8"/>
    </row>
    <row r="23" spans="1:6" ht="43.5" customHeight="1" x14ac:dyDescent="0.55000000000000004">
      <c r="A23" s="50" t="s">
        <v>145</v>
      </c>
      <c r="B23" s="50"/>
      <c r="C23" s="50"/>
      <c r="D23" s="29" t="s">
        <v>145</v>
      </c>
      <c r="E23" s="50" t="s">
        <v>145</v>
      </c>
      <c r="F23" s="50"/>
    </row>
    <row r="24" spans="1:6" ht="19.5" customHeight="1" x14ac:dyDescent="0.55000000000000004">
      <c r="A24" s="8" t="s">
        <v>146</v>
      </c>
      <c r="B24" s="8"/>
      <c r="C24" s="8"/>
      <c r="D24" s="15" t="s">
        <v>146</v>
      </c>
      <c r="E24" s="8" t="s">
        <v>146</v>
      </c>
      <c r="F24" s="8"/>
    </row>
    <row r="26" spans="1:6" ht="18" customHeight="1" x14ac:dyDescent="0.55000000000000004">
      <c r="A26" s="9" t="s">
        <v>147</v>
      </c>
      <c r="B26" s="9"/>
      <c r="C26" s="9"/>
      <c r="D26" s="9"/>
      <c r="E26" s="9"/>
      <c r="F26" s="9"/>
    </row>
    <row r="27" spans="1:6" ht="30.75" customHeight="1" x14ac:dyDescent="0.55000000000000004">
      <c r="A27" s="7" t="s">
        <v>411</v>
      </c>
      <c r="B27" s="7"/>
      <c r="C27" s="7"/>
      <c r="D27" s="7"/>
      <c r="E27" s="7"/>
      <c r="F27" s="7"/>
    </row>
    <row r="28" spans="1:6" ht="30" customHeight="1" x14ac:dyDescent="0.55000000000000004">
      <c r="A28" s="7" t="s">
        <v>412</v>
      </c>
      <c r="B28" s="7"/>
      <c r="C28" s="7"/>
      <c r="D28" s="7"/>
      <c r="E28" s="7"/>
      <c r="F28" s="7"/>
    </row>
    <row r="29" spans="1:6" ht="30.75" customHeight="1" x14ac:dyDescent="0.55000000000000004">
      <c r="A29" s="7" t="s">
        <v>413</v>
      </c>
      <c r="B29" s="7"/>
      <c r="C29" s="7"/>
      <c r="D29" s="7"/>
      <c r="E29" s="7"/>
      <c r="F29" s="7"/>
    </row>
  </sheetData>
  <mergeCells count="25">
    <mergeCell ref="A27:F27"/>
    <mergeCell ref="A28:F28"/>
    <mergeCell ref="A29:F29"/>
    <mergeCell ref="A23:C23"/>
    <mergeCell ref="E23:F23"/>
    <mergeCell ref="A24:C24"/>
    <mergeCell ref="E24:F24"/>
    <mergeCell ref="A26:F26"/>
    <mergeCell ref="A20:C20"/>
    <mergeCell ref="E20:F20"/>
    <mergeCell ref="A21:C21"/>
    <mergeCell ref="E21:F21"/>
    <mergeCell ref="A22:C22"/>
    <mergeCell ref="E22:F22"/>
    <mergeCell ref="A14:D14"/>
    <mergeCell ref="A15:D15"/>
    <mergeCell ref="A16:D16"/>
    <mergeCell ref="A18:B18"/>
    <mergeCell ref="C18:F18"/>
    <mergeCell ref="A1:B3"/>
    <mergeCell ref="C1:F1"/>
    <mergeCell ref="C2:F2"/>
    <mergeCell ref="C3:F3"/>
    <mergeCell ref="A5:B5"/>
    <mergeCell ref="E5:F5"/>
  </mergeCells>
  <dataValidations count="1">
    <dataValidation type="list" allowBlank="1" sqref="F8:F13" xr:uid="{00000000-0002-0000-0A00-000000000000}">
      <formula1>"Yes,No"</formula1>
      <formula2>0</formula2>
    </dataValidation>
  </dataValidations>
  <pageMargins left="0.5" right="0.5" top="1" bottom="1" header="0.511811023622047" footer="0.5"/>
  <pageSetup paperSize="9" fitToHeight="0" orientation="portrait" horizontalDpi="300" verticalDpi="300"/>
  <headerFooter>
    <oddFooter>&amp;LPY-10 | Crest Point Consulting Group&amp;CPage &amp;P of &amp;N&amp;RStrictly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pageSetUpPr fitToPage="1"/>
  </sheetPr>
  <dimension ref="A1:H24"/>
  <sheetViews>
    <sheetView showGridLines="0" zoomScaleNormal="100" workbookViewId="0">
      <selection sqref="A1:B3"/>
    </sheetView>
  </sheetViews>
  <sheetFormatPr defaultColWidth="8.68359375" defaultRowHeight="14.4" x14ac:dyDescent="0.55000000000000004"/>
  <cols>
    <col min="1" max="1" width="34" customWidth="1"/>
    <col min="2" max="2" width="12" customWidth="1"/>
    <col min="3" max="3" width="18" customWidth="1"/>
    <col min="4" max="5" width="14" customWidth="1"/>
    <col min="6" max="7" width="16" customWidth="1"/>
    <col min="8" max="8" width="20" customWidth="1"/>
  </cols>
  <sheetData>
    <row r="1" spans="1:8" ht="21.75" customHeight="1" x14ac:dyDescent="0.55000000000000004">
      <c r="A1" s="6" t="s">
        <v>104</v>
      </c>
      <c r="B1" s="6"/>
      <c r="C1" s="5" t="s">
        <v>0</v>
      </c>
      <c r="D1" s="5"/>
      <c r="E1" s="5"/>
      <c r="F1" s="5"/>
      <c r="G1" s="5"/>
      <c r="H1" s="5"/>
    </row>
    <row r="2" spans="1:8" ht="21.75" customHeight="1" x14ac:dyDescent="0.55000000000000004">
      <c r="A2" s="6"/>
      <c r="B2" s="6"/>
      <c r="C2" s="4" t="s">
        <v>414</v>
      </c>
      <c r="D2" s="4"/>
      <c r="E2" s="4"/>
      <c r="F2" s="4"/>
      <c r="G2" s="4"/>
      <c r="H2" s="4"/>
    </row>
    <row r="3" spans="1:8" ht="21.75" customHeight="1" x14ac:dyDescent="0.55000000000000004">
      <c r="A3" s="6"/>
      <c r="B3" s="6"/>
      <c r="C3" s="3" t="s">
        <v>415</v>
      </c>
      <c r="D3" s="3"/>
      <c r="E3" s="3"/>
      <c r="F3" s="3"/>
      <c r="G3" s="3"/>
      <c r="H3" s="3"/>
    </row>
    <row r="5" spans="1:8" ht="19.5" customHeight="1" x14ac:dyDescent="0.55000000000000004">
      <c r="A5" s="13" t="s">
        <v>352</v>
      </c>
      <c r="B5" s="51" t="s">
        <v>218</v>
      </c>
      <c r="C5" s="51"/>
      <c r="D5" s="51"/>
      <c r="E5" s="9" t="s">
        <v>110</v>
      </c>
      <c r="F5" s="9"/>
      <c r="G5" s="51" t="s">
        <v>416</v>
      </c>
      <c r="H5" s="51"/>
    </row>
    <row r="7" spans="1:8" ht="33.75" customHeight="1" x14ac:dyDescent="0.55000000000000004">
      <c r="A7" s="19" t="s">
        <v>417</v>
      </c>
      <c r="B7" s="19" t="s">
        <v>418</v>
      </c>
      <c r="C7" s="19" t="s">
        <v>363</v>
      </c>
      <c r="D7" s="19" t="s">
        <v>364</v>
      </c>
      <c r="E7" s="19" t="s">
        <v>365</v>
      </c>
      <c r="F7" s="19" t="s">
        <v>419</v>
      </c>
      <c r="G7" s="19" t="s">
        <v>420</v>
      </c>
      <c r="H7" s="19" t="s">
        <v>421</v>
      </c>
    </row>
    <row r="8" spans="1:8" ht="18" customHeight="1" x14ac:dyDescent="0.55000000000000004">
      <c r="A8" s="13" t="s">
        <v>422</v>
      </c>
      <c r="B8" s="16">
        <f>COUNTIF('PY-09 Payroll Calculation'!$F$9:$F$20,"Permanent")</f>
        <v>3</v>
      </c>
      <c r="C8" s="30">
        <f>SUMIF('PY-09 Payroll Calculation'!$F$9:$F$20,"Permanent",'PY-09 Payroll Calculation'!$L$9:$L$20)</f>
        <v>205500</v>
      </c>
      <c r="D8" s="30">
        <f>SUMIF('PY-09 Payroll Calculation'!$F$9:$F$20,"Permanent",'PY-09 Payroll Calculation'!$M$9:$M$20)</f>
        <v>2000</v>
      </c>
      <c r="E8" s="30">
        <f>SUMIF('PY-09 Payroll Calculation'!$F$9:$F$20,"Permanent",'PY-09 Payroll Calculation'!$N$9:$N$20)</f>
        <v>500</v>
      </c>
      <c r="F8" s="30">
        <f>SUMIF('PY-09 Payroll Calculation'!$F$9:$F$20,"Permanent",'PY-09 Payroll Calculation'!$O$9:$O$20)</f>
        <v>10000</v>
      </c>
      <c r="G8" s="30">
        <f>SUMIF('PY-09 Payroll Calculation'!$F$9:$F$20,"Permanent",'PY-09 Payroll Calculation'!$R$9:$R$20)</f>
        <v>20250</v>
      </c>
      <c r="H8" s="30">
        <f>SUMIF('PY-09 Payroll Calculation'!$F$9:$F$20,"Permanent",'PY-09 Payroll Calculation'!$S$9:$S$20)</f>
        <v>172750</v>
      </c>
    </row>
    <row r="9" spans="1:8" ht="18" customHeight="1" x14ac:dyDescent="0.55000000000000004">
      <c r="A9" s="13" t="s">
        <v>423</v>
      </c>
      <c r="B9" s="16">
        <f>COUNTIF('PY-09 Payroll Calculation'!$F$9:$F$20,"Temporary")</f>
        <v>1</v>
      </c>
      <c r="C9" s="30">
        <f>SUMIF('PY-09 Payroll Calculation'!$F$9:$F$20,"Temporary",'PY-09 Payroll Calculation'!$L$9:$L$20)</f>
        <v>15000</v>
      </c>
      <c r="D9" s="30">
        <f>SUMIF('PY-09 Payroll Calculation'!$F$9:$F$20,"Temporary",'PY-09 Payroll Calculation'!$M$9:$M$20)</f>
        <v>0</v>
      </c>
      <c r="E9" s="30">
        <f>SUMIF('PY-09 Payroll Calculation'!$F$9:$F$20,"Temporary",'PY-09 Payroll Calculation'!$N$9:$N$20)</f>
        <v>0</v>
      </c>
      <c r="F9" s="30">
        <f>SUMIF('PY-09 Payroll Calculation'!$F$9:$F$20,"Temporary",'PY-09 Payroll Calculation'!$O$9:$O$20)</f>
        <v>0</v>
      </c>
      <c r="G9" s="30">
        <f>SUMIF('PY-09 Payroll Calculation'!$F$9:$F$20,"Temporary",'PY-09 Payroll Calculation'!$R$9:$R$20)</f>
        <v>400</v>
      </c>
      <c r="H9" s="30">
        <f>SUMIF('PY-09 Payroll Calculation'!$F$9:$F$20,"Temporary",'PY-09 Payroll Calculation'!$S$9:$S$20)</f>
        <v>14600</v>
      </c>
    </row>
    <row r="10" spans="1:8" ht="30.75" customHeight="1" x14ac:dyDescent="0.55000000000000004">
      <c r="A10" s="13" t="s">
        <v>424</v>
      </c>
      <c r="B10" s="17" t="s">
        <v>425</v>
      </c>
      <c r="C10" s="41"/>
      <c r="D10" s="41"/>
      <c r="E10" s="41"/>
      <c r="F10" s="41"/>
      <c r="G10" s="41"/>
      <c r="H10" s="30">
        <f>'PY-10 Wages-Based Entry'!$E$14</f>
        <v>521500</v>
      </c>
    </row>
    <row r="11" spans="1:8" ht="18" customHeight="1" x14ac:dyDescent="0.55000000000000004">
      <c r="A11" s="13" t="s">
        <v>285</v>
      </c>
      <c r="B11" s="33">
        <f>SUM(B8:B9)</f>
        <v>4</v>
      </c>
      <c r="C11" s="37">
        <f t="shared" ref="C11:H11" si="0">SUM(C8:C10)</f>
        <v>220500</v>
      </c>
      <c r="D11" s="37">
        <f t="shared" si="0"/>
        <v>2000</v>
      </c>
      <c r="E11" s="37">
        <f t="shared" si="0"/>
        <v>500</v>
      </c>
      <c r="F11" s="37">
        <f t="shared" si="0"/>
        <v>10000</v>
      </c>
      <c r="G11" s="37">
        <f t="shared" si="0"/>
        <v>20650</v>
      </c>
      <c r="H11" s="37">
        <f t="shared" si="0"/>
        <v>708850</v>
      </c>
    </row>
    <row r="12" spans="1:8" ht="18" customHeight="1" x14ac:dyDescent="0.55000000000000004">
      <c r="A12" s="60" t="s">
        <v>426</v>
      </c>
      <c r="B12" s="60"/>
      <c r="C12" s="60"/>
      <c r="D12" s="60"/>
      <c r="E12" s="60"/>
      <c r="F12" s="60"/>
      <c r="G12" s="60"/>
      <c r="H12" s="30">
        <f>'PY-09 Payroll Calculation'!$S$21</f>
        <v>187350</v>
      </c>
    </row>
    <row r="13" spans="1:8" ht="18" customHeight="1" x14ac:dyDescent="0.55000000000000004">
      <c r="A13" s="60" t="s">
        <v>427</v>
      </c>
      <c r="B13" s="60"/>
      <c r="C13" s="60"/>
      <c r="D13" s="60"/>
      <c r="E13" s="60"/>
      <c r="F13" s="60"/>
      <c r="G13" s="60"/>
      <c r="H13" s="42" t="str">
        <f>IF(ROUND(H8+H9-H12,2)=0,"AGREES","DIFFERENCE")</f>
        <v>AGREES</v>
      </c>
    </row>
    <row r="15" spans="1:8" ht="30.75" customHeight="1" x14ac:dyDescent="0.55000000000000004">
      <c r="A15" s="28" t="s">
        <v>171</v>
      </c>
      <c r="B15" s="49" t="s">
        <v>383</v>
      </c>
      <c r="C15" s="49"/>
      <c r="D15" s="49"/>
      <c r="E15" s="49"/>
      <c r="F15" s="49" t="s">
        <v>384</v>
      </c>
      <c r="G15" s="49"/>
      <c r="H15" s="49"/>
    </row>
    <row r="16" spans="1:8" ht="19.5" customHeight="1" x14ac:dyDescent="0.55000000000000004">
      <c r="A16" s="15" t="s">
        <v>143</v>
      </c>
      <c r="B16" s="8" t="s">
        <v>143</v>
      </c>
      <c r="C16" s="8"/>
      <c r="D16" s="8"/>
      <c r="E16" s="8"/>
      <c r="F16" s="8" t="s">
        <v>143</v>
      </c>
      <c r="G16" s="8"/>
      <c r="H16" s="8"/>
    </row>
    <row r="17" spans="1:8" ht="19.5" customHeight="1" x14ac:dyDescent="0.55000000000000004">
      <c r="A17" s="15" t="s">
        <v>144</v>
      </c>
      <c r="B17" s="8" t="s">
        <v>144</v>
      </c>
      <c r="C17" s="8"/>
      <c r="D17" s="8"/>
      <c r="E17" s="8"/>
      <c r="F17" s="8" t="s">
        <v>144</v>
      </c>
      <c r="G17" s="8"/>
      <c r="H17" s="8"/>
    </row>
    <row r="18" spans="1:8" ht="43.5" customHeight="1" x14ac:dyDescent="0.55000000000000004">
      <c r="A18" s="29" t="s">
        <v>145</v>
      </c>
      <c r="B18" s="50" t="s">
        <v>145</v>
      </c>
      <c r="C18" s="50"/>
      <c r="D18" s="50"/>
      <c r="E18" s="50"/>
      <c r="F18" s="50" t="s">
        <v>145</v>
      </c>
      <c r="G18" s="50"/>
      <c r="H18" s="50"/>
    </row>
    <row r="19" spans="1:8" ht="19.5" customHeight="1" x14ac:dyDescent="0.55000000000000004">
      <c r="A19" s="15" t="s">
        <v>146</v>
      </c>
      <c r="B19" s="8" t="s">
        <v>146</v>
      </c>
      <c r="C19" s="8"/>
      <c r="D19" s="8"/>
      <c r="E19" s="8"/>
      <c r="F19" s="8" t="s">
        <v>146</v>
      </c>
      <c r="G19" s="8"/>
      <c r="H19" s="8"/>
    </row>
    <row r="21" spans="1:8" ht="18" customHeight="1" x14ac:dyDescent="0.55000000000000004">
      <c r="A21" s="9" t="s">
        <v>147</v>
      </c>
      <c r="B21" s="9"/>
      <c r="C21" s="9"/>
      <c r="D21" s="9"/>
      <c r="E21" s="9"/>
      <c r="F21" s="9"/>
      <c r="G21" s="9"/>
      <c r="H21" s="9"/>
    </row>
    <row r="22" spans="1:8" ht="25.5" customHeight="1" x14ac:dyDescent="0.55000000000000004">
      <c r="A22" s="7" t="s">
        <v>428</v>
      </c>
      <c r="B22" s="7"/>
      <c r="C22" s="7"/>
      <c r="D22" s="7"/>
      <c r="E22" s="7"/>
      <c r="F22" s="7"/>
      <c r="G22" s="7"/>
      <c r="H22" s="7"/>
    </row>
    <row r="23" spans="1:8" ht="25.5" customHeight="1" x14ac:dyDescent="0.55000000000000004">
      <c r="A23" s="7" t="s">
        <v>429</v>
      </c>
      <c r="B23" s="7"/>
      <c r="C23" s="7"/>
      <c r="D23" s="7"/>
      <c r="E23" s="7"/>
      <c r="F23" s="7"/>
      <c r="G23" s="7"/>
      <c r="H23" s="7"/>
    </row>
    <row r="24" spans="1:8" ht="30.75" customHeight="1" x14ac:dyDescent="0.55000000000000004">
      <c r="A24" s="7" t="s">
        <v>326</v>
      </c>
      <c r="B24" s="7"/>
      <c r="C24" s="7"/>
      <c r="D24" s="7"/>
      <c r="E24" s="7"/>
      <c r="F24" s="7"/>
      <c r="G24" s="7"/>
      <c r="H24" s="7"/>
    </row>
  </sheetData>
  <mergeCells count="23">
    <mergeCell ref="A21:H21"/>
    <mergeCell ref="A22:H22"/>
    <mergeCell ref="A23:H23"/>
    <mergeCell ref="A24:H24"/>
    <mergeCell ref="B17:E17"/>
    <mergeCell ref="F17:H17"/>
    <mergeCell ref="B18:E18"/>
    <mergeCell ref="F18:H18"/>
    <mergeCell ref="B19:E19"/>
    <mergeCell ref="F19:H19"/>
    <mergeCell ref="A12:G12"/>
    <mergeCell ref="A13:G13"/>
    <mergeCell ref="B15:E15"/>
    <mergeCell ref="F15:H15"/>
    <mergeCell ref="B16:E16"/>
    <mergeCell ref="F16:H16"/>
    <mergeCell ref="A1:B3"/>
    <mergeCell ref="C1:H1"/>
    <mergeCell ref="C2:H2"/>
    <mergeCell ref="C3:H3"/>
    <mergeCell ref="B5:D5"/>
    <mergeCell ref="E5:F5"/>
    <mergeCell ref="G5:H5"/>
  </mergeCells>
  <pageMargins left="0.5" right="0.5" top="1" bottom="1" header="0.511811023622047" footer="0.5"/>
  <pageSetup paperSize="9" fitToHeight="0" orientation="landscape" horizontalDpi="300" verticalDpi="300"/>
  <headerFooter>
    <oddFooter>&amp;LPY-11 | Crest Point Consulting Group&amp;CPage &amp;P of &amp;N&amp;RStrictly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pageSetUpPr fitToPage="1"/>
  </sheetPr>
  <dimension ref="A1:F34"/>
  <sheetViews>
    <sheetView showGridLines="0" zoomScaleNormal="100" workbookViewId="0">
      <selection sqref="A1:B3"/>
    </sheetView>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104</v>
      </c>
      <c r="B1" s="6"/>
      <c r="C1" s="5" t="s">
        <v>0</v>
      </c>
      <c r="D1" s="5"/>
      <c r="E1" s="5"/>
      <c r="F1" s="5"/>
    </row>
    <row r="2" spans="1:6" ht="21.75" customHeight="1" x14ac:dyDescent="0.55000000000000004">
      <c r="A2" s="6"/>
      <c r="B2" s="6"/>
      <c r="C2" s="4" t="s">
        <v>430</v>
      </c>
      <c r="D2" s="4"/>
      <c r="E2" s="4"/>
      <c r="F2" s="4"/>
    </row>
    <row r="3" spans="1:6" ht="21.75" customHeight="1" x14ac:dyDescent="0.55000000000000004">
      <c r="A3" s="6"/>
      <c r="B3" s="6"/>
      <c r="C3" s="3" t="s">
        <v>431</v>
      </c>
      <c r="D3" s="3"/>
      <c r="E3" s="3"/>
      <c r="F3" s="3"/>
    </row>
    <row r="5" spans="1:6" ht="19.5" customHeight="1" x14ac:dyDescent="0.55000000000000004">
      <c r="A5" s="9" t="s">
        <v>432</v>
      </c>
      <c r="B5" s="9"/>
      <c r="C5" s="23" t="s">
        <v>433</v>
      </c>
      <c r="D5" s="13" t="s">
        <v>434</v>
      </c>
      <c r="E5" s="55">
        <v>46323</v>
      </c>
      <c r="F5" s="55"/>
    </row>
    <row r="6" spans="1:6" ht="19.5" customHeight="1" x14ac:dyDescent="0.55000000000000004">
      <c r="A6" s="9" t="s">
        <v>350</v>
      </c>
      <c r="B6" s="9"/>
      <c r="C6" s="23" t="s">
        <v>339</v>
      </c>
      <c r="D6" s="13" t="s">
        <v>352</v>
      </c>
      <c r="E6" s="51" t="s">
        <v>218</v>
      </c>
      <c r="F6" s="51"/>
    </row>
    <row r="7" spans="1:6" ht="30.75" customHeight="1" x14ac:dyDescent="0.55000000000000004">
      <c r="A7" s="9" t="s">
        <v>435</v>
      </c>
      <c r="B7" s="9"/>
      <c r="C7" s="23" t="s">
        <v>436</v>
      </c>
      <c r="D7" s="13" t="s">
        <v>437</v>
      </c>
      <c r="E7" s="51" t="s">
        <v>438</v>
      </c>
      <c r="F7" s="51"/>
    </row>
    <row r="9" spans="1:6" ht="18" customHeight="1" x14ac:dyDescent="0.55000000000000004">
      <c r="A9" s="2" t="s">
        <v>439</v>
      </c>
      <c r="B9" s="2"/>
      <c r="C9" s="2"/>
      <c r="D9" s="2"/>
      <c r="E9" s="2"/>
      <c r="F9" s="2"/>
    </row>
    <row r="10" spans="1:6" ht="30.75" customHeight="1" x14ac:dyDescent="0.55000000000000004">
      <c r="A10" s="19" t="s">
        <v>132</v>
      </c>
      <c r="B10" s="56" t="s">
        <v>440</v>
      </c>
      <c r="C10" s="56"/>
      <c r="D10" s="56"/>
      <c r="E10" s="19" t="s">
        <v>199</v>
      </c>
      <c r="F10" s="19" t="s">
        <v>441</v>
      </c>
    </row>
    <row r="11" spans="1:6" ht="27.75" customHeight="1" x14ac:dyDescent="0.55000000000000004">
      <c r="A11" s="20">
        <v>1</v>
      </c>
      <c r="B11" s="8" t="s">
        <v>442</v>
      </c>
      <c r="C11" s="8"/>
      <c r="D11" s="8"/>
      <c r="E11" s="14" t="s">
        <v>399</v>
      </c>
      <c r="F11" s="24"/>
    </row>
    <row r="12" spans="1:6" ht="27.75" customHeight="1" x14ac:dyDescent="0.55000000000000004">
      <c r="A12" s="20">
        <v>2</v>
      </c>
      <c r="B12" s="8" t="s">
        <v>443</v>
      </c>
      <c r="C12" s="8"/>
      <c r="D12" s="8"/>
      <c r="E12" s="14" t="s">
        <v>399</v>
      </c>
      <c r="F12" s="24"/>
    </row>
    <row r="13" spans="1:6" ht="27.75" customHeight="1" x14ac:dyDescent="0.55000000000000004">
      <c r="A13" s="20">
        <v>3</v>
      </c>
      <c r="B13" s="8" t="s">
        <v>444</v>
      </c>
      <c r="C13" s="8"/>
      <c r="D13" s="8"/>
      <c r="E13" s="14" t="s">
        <v>399</v>
      </c>
      <c r="F13" s="24"/>
    </row>
    <row r="14" spans="1:6" ht="27.75" customHeight="1" x14ac:dyDescent="0.55000000000000004">
      <c r="A14" s="20">
        <v>4</v>
      </c>
      <c r="B14" s="8" t="s">
        <v>445</v>
      </c>
      <c r="C14" s="8"/>
      <c r="D14" s="8"/>
      <c r="E14" s="14" t="s">
        <v>399</v>
      </c>
      <c r="F14" s="24"/>
    </row>
    <row r="15" spans="1:6" ht="27.75" customHeight="1" x14ac:dyDescent="0.55000000000000004">
      <c r="A15" s="20">
        <v>5</v>
      </c>
      <c r="B15" s="8" t="s">
        <v>446</v>
      </c>
      <c r="C15" s="8"/>
      <c r="D15" s="8"/>
      <c r="E15" s="14" t="s">
        <v>399</v>
      </c>
      <c r="F15" s="24"/>
    </row>
    <row r="16" spans="1:6" ht="30.75" customHeight="1" x14ac:dyDescent="0.55000000000000004">
      <c r="A16" s="20">
        <v>6</v>
      </c>
      <c r="B16" s="8" t="s">
        <v>447</v>
      </c>
      <c r="C16" s="8"/>
      <c r="D16" s="8"/>
      <c r="E16" s="14" t="s">
        <v>399</v>
      </c>
      <c r="F16" s="24"/>
    </row>
    <row r="17" spans="1:6" ht="27.75" customHeight="1" x14ac:dyDescent="0.55000000000000004">
      <c r="A17" s="20">
        <v>7</v>
      </c>
      <c r="B17" s="8" t="s">
        <v>448</v>
      </c>
      <c r="C17" s="8"/>
      <c r="D17" s="8"/>
      <c r="E17" s="14" t="s">
        <v>399</v>
      </c>
      <c r="F17" s="24"/>
    </row>
    <row r="18" spans="1:6" ht="27.75" customHeight="1" x14ac:dyDescent="0.55000000000000004">
      <c r="A18" s="20">
        <v>8</v>
      </c>
      <c r="B18" s="8" t="s">
        <v>449</v>
      </c>
      <c r="C18" s="8"/>
      <c r="D18" s="8"/>
      <c r="E18" s="14" t="s">
        <v>399</v>
      </c>
      <c r="F18" s="24"/>
    </row>
    <row r="20" spans="1:6" ht="21.75" customHeight="1" x14ac:dyDescent="0.55000000000000004">
      <c r="A20" s="9" t="s">
        <v>450</v>
      </c>
      <c r="B20" s="9"/>
      <c r="C20" s="51" t="str">
        <f>IF(COUNTBLANK(E11:E18)&gt;0,"INCOMPLETE",IF(COUNTIF(E11:E18,"No")&gt;0,"REJECT","VERIFY"))</f>
        <v>VERIFY</v>
      </c>
      <c r="D20" s="51"/>
      <c r="E20" s="51"/>
      <c r="F20" s="51"/>
    </row>
    <row r="21" spans="1:6" ht="30.75" customHeight="1" x14ac:dyDescent="0.55000000000000004">
      <c r="A21" s="9" t="s">
        <v>451</v>
      </c>
      <c r="B21" s="9"/>
      <c r="C21" s="24" t="s">
        <v>452</v>
      </c>
      <c r="D21" s="13" t="s">
        <v>453</v>
      </c>
      <c r="E21" s="55">
        <v>46324</v>
      </c>
      <c r="F21" s="55"/>
    </row>
    <row r="22" spans="1:6" ht="36" customHeight="1" x14ac:dyDescent="0.55000000000000004">
      <c r="A22" s="9" t="s">
        <v>454</v>
      </c>
      <c r="B22" s="9"/>
      <c r="C22" s="1"/>
      <c r="D22" s="1"/>
      <c r="E22" s="1"/>
      <c r="F22" s="1"/>
    </row>
    <row r="23" spans="1:6" ht="39.75" customHeight="1" x14ac:dyDescent="0.55000000000000004">
      <c r="A23" s="9" t="s">
        <v>455</v>
      </c>
      <c r="B23" s="9"/>
      <c r="C23" s="51" t="s">
        <v>456</v>
      </c>
      <c r="D23" s="51"/>
      <c r="E23" s="51"/>
      <c r="F23" s="51"/>
    </row>
    <row r="24" spans="1:6" ht="51.75" customHeight="1" x14ac:dyDescent="0.55000000000000004">
      <c r="A24" s="9" t="s">
        <v>457</v>
      </c>
      <c r="B24" s="9"/>
      <c r="C24" s="51" t="s">
        <v>458</v>
      </c>
      <c r="D24" s="51"/>
      <c r="E24" s="51"/>
      <c r="F24" s="51"/>
    </row>
    <row r="26" spans="1:6" ht="30.75" customHeight="1" x14ac:dyDescent="0.55000000000000004">
      <c r="A26" s="49" t="s">
        <v>171</v>
      </c>
      <c r="B26" s="49"/>
      <c r="C26" s="49"/>
      <c r="D26" s="28" t="s">
        <v>383</v>
      </c>
      <c r="E26" s="49" t="s">
        <v>384</v>
      </c>
      <c r="F26" s="49"/>
    </row>
    <row r="27" spans="1:6" ht="19.5" customHeight="1" x14ac:dyDescent="0.55000000000000004">
      <c r="A27" s="8" t="s">
        <v>143</v>
      </c>
      <c r="B27" s="8"/>
      <c r="C27" s="8"/>
      <c r="D27" s="15" t="s">
        <v>143</v>
      </c>
      <c r="E27" s="8" t="s">
        <v>143</v>
      </c>
      <c r="F27" s="8"/>
    </row>
    <row r="28" spans="1:6" ht="19.5" customHeight="1" x14ac:dyDescent="0.55000000000000004">
      <c r="A28" s="8" t="s">
        <v>144</v>
      </c>
      <c r="B28" s="8"/>
      <c r="C28" s="8"/>
      <c r="D28" s="15" t="s">
        <v>144</v>
      </c>
      <c r="E28" s="8" t="s">
        <v>144</v>
      </c>
      <c r="F28" s="8"/>
    </row>
    <row r="29" spans="1:6" ht="43.5" customHeight="1" x14ac:dyDescent="0.55000000000000004">
      <c r="A29" s="50" t="s">
        <v>145</v>
      </c>
      <c r="B29" s="50"/>
      <c r="C29" s="50"/>
      <c r="D29" s="29" t="s">
        <v>145</v>
      </c>
      <c r="E29" s="50" t="s">
        <v>145</v>
      </c>
      <c r="F29" s="50"/>
    </row>
    <row r="30" spans="1:6" ht="19.5" customHeight="1" x14ac:dyDescent="0.55000000000000004">
      <c r="A30" s="8" t="s">
        <v>146</v>
      </c>
      <c r="B30" s="8"/>
      <c r="C30" s="8"/>
      <c r="D30" s="15" t="s">
        <v>146</v>
      </c>
      <c r="E30" s="8" t="s">
        <v>146</v>
      </c>
      <c r="F30" s="8"/>
    </row>
    <row r="32" spans="1:6" ht="18" customHeight="1" x14ac:dyDescent="0.55000000000000004">
      <c r="A32" s="9" t="s">
        <v>147</v>
      </c>
      <c r="B32" s="9"/>
      <c r="C32" s="9"/>
      <c r="D32" s="9"/>
      <c r="E32" s="9"/>
      <c r="F32" s="9"/>
    </row>
    <row r="33" spans="1:6" ht="30.75" customHeight="1" x14ac:dyDescent="0.55000000000000004">
      <c r="A33" s="7" t="s">
        <v>459</v>
      </c>
      <c r="B33" s="7"/>
      <c r="C33" s="7"/>
      <c r="D33" s="7"/>
      <c r="E33" s="7"/>
      <c r="F33" s="7"/>
    </row>
    <row r="34" spans="1:6" ht="43.5" customHeight="1" x14ac:dyDescent="0.55000000000000004">
      <c r="A34" s="7" t="s">
        <v>460</v>
      </c>
      <c r="B34" s="7"/>
      <c r="C34" s="7"/>
      <c r="D34" s="7"/>
      <c r="E34" s="7"/>
      <c r="F34" s="7"/>
    </row>
  </sheetData>
  <mergeCells count="43">
    <mergeCell ref="A32:F32"/>
    <mergeCell ref="A33:F33"/>
    <mergeCell ref="A34:F34"/>
    <mergeCell ref="A28:C28"/>
    <mergeCell ref="E28:F28"/>
    <mergeCell ref="A29:C29"/>
    <mergeCell ref="E29:F29"/>
    <mergeCell ref="A30:C30"/>
    <mergeCell ref="E30:F30"/>
    <mergeCell ref="A24:B24"/>
    <mergeCell ref="C24:F24"/>
    <mergeCell ref="A26:C26"/>
    <mergeCell ref="E26:F26"/>
    <mergeCell ref="A27:C27"/>
    <mergeCell ref="E27:F27"/>
    <mergeCell ref="A21:B21"/>
    <mergeCell ref="E21:F21"/>
    <mergeCell ref="A22:B22"/>
    <mergeCell ref="C22:F22"/>
    <mergeCell ref="A23:B23"/>
    <mergeCell ref="C23:F23"/>
    <mergeCell ref="B15:D15"/>
    <mergeCell ref="B16:D16"/>
    <mergeCell ref="B17:D17"/>
    <mergeCell ref="B18:D18"/>
    <mergeCell ref="A20:B20"/>
    <mergeCell ref="C20:F20"/>
    <mergeCell ref="B10:D10"/>
    <mergeCell ref="B11:D11"/>
    <mergeCell ref="B12:D12"/>
    <mergeCell ref="B13:D13"/>
    <mergeCell ref="B14:D14"/>
    <mergeCell ref="A6:B6"/>
    <mergeCell ref="E6:F6"/>
    <mergeCell ref="A7:B7"/>
    <mergeCell ref="E7:F7"/>
    <mergeCell ref="A9:F9"/>
    <mergeCell ref="A1:B3"/>
    <mergeCell ref="C1:F1"/>
    <mergeCell ref="C2:F2"/>
    <mergeCell ref="C3:F3"/>
    <mergeCell ref="A5:B5"/>
    <mergeCell ref="E5:F5"/>
  </mergeCells>
  <dataValidations count="2">
    <dataValidation type="list" allowBlank="1" sqref="E11:E18" xr:uid="{00000000-0002-0000-0C00-000000000000}">
      <formula1>"Yes,No"</formula1>
      <formula2>0</formula2>
    </dataValidation>
    <dataValidation type="list" allowBlank="1" sqref="C21" xr:uid="{00000000-0002-0000-0C00-000001000000}">
      <formula1>"Verified,Rejected"</formula1>
      <formula2>0</formula2>
    </dataValidation>
  </dataValidations>
  <pageMargins left="0.5" right="0.5" top="1" bottom="1" header="0.511811023622047" footer="0.5"/>
  <pageSetup paperSize="9" fitToHeight="0" orientation="portrait" horizontalDpi="300" verticalDpi="300"/>
  <headerFooter>
    <oddFooter>&amp;LPY-12 | Crest Point Consulting Group&amp;CPage &amp;P of &amp;N&amp;RStrictly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pageSetUpPr fitToPage="1"/>
  </sheetPr>
  <dimension ref="A1:F28"/>
  <sheetViews>
    <sheetView showGridLines="0" zoomScaleNormal="100" workbookViewId="0">
      <selection sqref="A1:B3"/>
    </sheetView>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104</v>
      </c>
      <c r="B1" s="6"/>
      <c r="C1" s="5" t="s">
        <v>0</v>
      </c>
      <c r="D1" s="5"/>
      <c r="E1" s="5"/>
      <c r="F1" s="5"/>
    </row>
    <row r="2" spans="1:6" ht="21.75" customHeight="1" x14ac:dyDescent="0.55000000000000004">
      <c r="A2" s="6"/>
      <c r="B2" s="6"/>
      <c r="C2" s="4" t="s">
        <v>461</v>
      </c>
      <c r="D2" s="4"/>
      <c r="E2" s="4"/>
      <c r="F2" s="4"/>
    </row>
    <row r="3" spans="1:6" ht="30.75" customHeight="1" x14ac:dyDescent="0.55000000000000004">
      <c r="A3" s="6"/>
      <c r="B3" s="6"/>
      <c r="C3" s="3" t="s">
        <v>462</v>
      </c>
      <c r="D3" s="3"/>
      <c r="E3" s="3"/>
      <c r="F3" s="3"/>
    </row>
    <row r="5" spans="1:6" ht="18" customHeight="1" x14ac:dyDescent="0.55000000000000004">
      <c r="A5" s="2" t="s">
        <v>463</v>
      </c>
      <c r="B5" s="2"/>
      <c r="C5" s="2"/>
      <c r="D5" s="2"/>
      <c r="E5" s="2"/>
      <c r="F5" s="2"/>
    </row>
    <row r="6" spans="1:6" ht="19.5" customHeight="1" x14ac:dyDescent="0.55000000000000004">
      <c r="A6" s="9" t="s">
        <v>155</v>
      </c>
      <c r="B6" s="9"/>
      <c r="C6" s="23" t="s">
        <v>113</v>
      </c>
      <c r="D6" s="13" t="s">
        <v>114</v>
      </c>
      <c r="E6" s="51" t="s">
        <v>115</v>
      </c>
      <c r="F6" s="51"/>
    </row>
    <row r="7" spans="1:6" ht="19.5" customHeight="1" x14ac:dyDescent="0.55000000000000004">
      <c r="A7" s="9" t="s">
        <v>116</v>
      </c>
      <c r="B7" s="9"/>
      <c r="C7" s="23" t="s">
        <v>117</v>
      </c>
      <c r="D7" s="13" t="s">
        <v>118</v>
      </c>
      <c r="E7" s="51" t="s">
        <v>119</v>
      </c>
      <c r="F7" s="51"/>
    </row>
    <row r="8" spans="1:6" ht="19.5" customHeight="1" x14ac:dyDescent="0.55000000000000004">
      <c r="A8" s="9" t="s">
        <v>464</v>
      </c>
      <c r="B8" s="9"/>
      <c r="C8" s="23" t="s">
        <v>218</v>
      </c>
      <c r="D8" s="13" t="s">
        <v>350</v>
      </c>
      <c r="E8" s="51" t="s">
        <v>351</v>
      </c>
      <c r="F8" s="51"/>
    </row>
    <row r="10" spans="1:6" ht="18" customHeight="1" x14ac:dyDescent="0.55000000000000004">
      <c r="A10" s="2" t="s">
        <v>465</v>
      </c>
      <c r="B10" s="2"/>
      <c r="C10" s="2"/>
      <c r="D10" s="2"/>
      <c r="E10" s="2"/>
      <c r="F10" s="2"/>
    </row>
    <row r="11" spans="1:6" ht="18" customHeight="1" x14ac:dyDescent="0.55000000000000004">
      <c r="A11" s="9" t="s">
        <v>334</v>
      </c>
      <c r="B11" s="9"/>
      <c r="C11" s="9"/>
      <c r="D11" s="9"/>
      <c r="E11" s="57" t="s">
        <v>466</v>
      </c>
      <c r="F11" s="57"/>
    </row>
    <row r="12" spans="1:6" ht="18" customHeight="1" x14ac:dyDescent="0.55000000000000004">
      <c r="A12" s="8" t="s">
        <v>467</v>
      </c>
      <c r="B12" s="8"/>
      <c r="C12" s="8"/>
      <c r="D12" s="8"/>
      <c r="E12" s="53">
        <v>40000</v>
      </c>
      <c r="F12" s="53"/>
    </row>
    <row r="13" spans="1:6" ht="18" customHeight="1" x14ac:dyDescent="0.55000000000000004">
      <c r="A13" s="8" t="s">
        <v>361</v>
      </c>
      <c r="B13" s="8"/>
      <c r="C13" s="8"/>
      <c r="D13" s="8"/>
      <c r="E13" s="53">
        <v>2500</v>
      </c>
      <c r="F13" s="53"/>
    </row>
    <row r="14" spans="1:6" ht="18" customHeight="1" x14ac:dyDescent="0.55000000000000004">
      <c r="A14" s="8" t="s">
        <v>362</v>
      </c>
      <c r="B14" s="8"/>
      <c r="C14" s="8"/>
      <c r="D14" s="8"/>
      <c r="E14" s="53">
        <v>3000</v>
      </c>
      <c r="F14" s="53"/>
    </row>
    <row r="15" spans="1:6" ht="18" customHeight="1" x14ac:dyDescent="0.55000000000000004">
      <c r="A15" s="9" t="s">
        <v>468</v>
      </c>
      <c r="B15" s="9"/>
      <c r="C15" s="9"/>
      <c r="D15" s="9"/>
      <c r="E15" s="62">
        <f>SUM(E12:E14)</f>
        <v>45500</v>
      </c>
      <c r="F15" s="62"/>
    </row>
    <row r="17" spans="1:6" ht="18" customHeight="1" x14ac:dyDescent="0.55000000000000004">
      <c r="A17" s="2" t="s">
        <v>469</v>
      </c>
      <c r="B17" s="2"/>
      <c r="C17" s="2"/>
      <c r="D17" s="2"/>
      <c r="E17" s="2"/>
      <c r="F17" s="2"/>
    </row>
    <row r="18" spans="1:6" ht="18" customHeight="1" x14ac:dyDescent="0.55000000000000004">
      <c r="A18" s="8" t="s">
        <v>470</v>
      </c>
      <c r="B18" s="8"/>
      <c r="C18" s="8"/>
      <c r="D18" s="8"/>
      <c r="E18" s="53">
        <v>2000</v>
      </c>
      <c r="F18" s="53"/>
    </row>
    <row r="19" spans="1:6" ht="18" customHeight="1" x14ac:dyDescent="0.55000000000000004">
      <c r="A19" s="8" t="s">
        <v>365</v>
      </c>
      <c r="B19" s="8"/>
      <c r="C19" s="8"/>
      <c r="D19" s="8"/>
      <c r="E19" s="53">
        <v>500</v>
      </c>
      <c r="F19" s="53"/>
    </row>
    <row r="20" spans="1:6" ht="18" customHeight="1" x14ac:dyDescent="0.55000000000000004">
      <c r="A20" s="8" t="s">
        <v>366</v>
      </c>
      <c r="B20" s="8"/>
      <c r="C20" s="8"/>
      <c r="D20" s="8"/>
      <c r="E20" s="53">
        <v>10000</v>
      </c>
      <c r="F20" s="53"/>
    </row>
    <row r="21" spans="1:6" ht="18" customHeight="1" x14ac:dyDescent="0.55000000000000004">
      <c r="A21" s="8" t="s">
        <v>471</v>
      </c>
      <c r="B21" s="8"/>
      <c r="C21" s="8"/>
      <c r="D21" s="8"/>
      <c r="E21" s="53">
        <v>3450</v>
      </c>
      <c r="F21" s="53"/>
    </row>
    <row r="22" spans="1:6" ht="18" customHeight="1" x14ac:dyDescent="0.55000000000000004">
      <c r="A22" s="9" t="s">
        <v>472</v>
      </c>
      <c r="B22" s="9"/>
      <c r="C22" s="9"/>
      <c r="D22" s="9"/>
      <c r="E22" s="62">
        <f>SUM(E18:E21)</f>
        <v>15950</v>
      </c>
      <c r="F22" s="62"/>
    </row>
    <row r="24" spans="1:6" ht="25.5" customHeight="1" x14ac:dyDescent="0.55000000000000004">
      <c r="A24" s="63" t="s">
        <v>473</v>
      </c>
      <c r="B24" s="63"/>
      <c r="C24" s="63"/>
      <c r="D24" s="63"/>
      <c r="E24" s="64">
        <f>E15-E22</f>
        <v>29550</v>
      </c>
      <c r="F24" s="64"/>
    </row>
    <row r="26" spans="1:6" ht="18" customHeight="1" x14ac:dyDescent="0.55000000000000004">
      <c r="A26" s="9" t="s">
        <v>147</v>
      </c>
      <c r="B26" s="9"/>
      <c r="C26" s="9"/>
      <c r="D26" s="9"/>
      <c r="E26" s="9"/>
      <c r="F26" s="9"/>
    </row>
    <row r="27" spans="1:6" ht="43.5" customHeight="1" x14ac:dyDescent="0.55000000000000004">
      <c r="A27" s="7" t="s">
        <v>474</v>
      </c>
      <c r="B27" s="7"/>
      <c r="C27" s="7"/>
      <c r="D27" s="7"/>
      <c r="E27" s="7"/>
      <c r="F27" s="7"/>
    </row>
    <row r="28" spans="1:6" ht="30.75" customHeight="1" x14ac:dyDescent="0.55000000000000004">
      <c r="A28" s="7" t="s">
        <v>475</v>
      </c>
      <c r="B28" s="7"/>
      <c r="C28" s="7"/>
      <c r="D28" s="7"/>
      <c r="E28" s="7"/>
      <c r="F28" s="7"/>
    </row>
  </sheetData>
  <mergeCells count="38">
    <mergeCell ref="A24:D24"/>
    <mergeCell ref="E24:F24"/>
    <mergeCell ref="A26:F26"/>
    <mergeCell ref="A27:F27"/>
    <mergeCell ref="A28:F28"/>
    <mergeCell ref="A20:D20"/>
    <mergeCell ref="E20:F20"/>
    <mergeCell ref="A21:D21"/>
    <mergeCell ref="E21:F21"/>
    <mergeCell ref="A22:D22"/>
    <mergeCell ref="E22:F22"/>
    <mergeCell ref="A17:F17"/>
    <mergeCell ref="A18:D18"/>
    <mergeCell ref="E18:F18"/>
    <mergeCell ref="A19:D19"/>
    <mergeCell ref="E19:F19"/>
    <mergeCell ref="A13:D13"/>
    <mergeCell ref="E13:F13"/>
    <mergeCell ref="A14:D14"/>
    <mergeCell ref="E14:F14"/>
    <mergeCell ref="A15:D15"/>
    <mergeCell ref="E15:F15"/>
    <mergeCell ref="A10:F10"/>
    <mergeCell ref="A11:D11"/>
    <mergeCell ref="E11:F11"/>
    <mergeCell ref="A12:D12"/>
    <mergeCell ref="E12:F12"/>
    <mergeCell ref="A6:B6"/>
    <mergeCell ref="E6:F6"/>
    <mergeCell ref="A7:B7"/>
    <mergeCell ref="E7:F7"/>
    <mergeCell ref="A8:B8"/>
    <mergeCell ref="E8:F8"/>
    <mergeCell ref="A1:B3"/>
    <mergeCell ref="C1:F1"/>
    <mergeCell ref="C2:F2"/>
    <mergeCell ref="C3:F3"/>
    <mergeCell ref="A5:F5"/>
  </mergeCells>
  <pageMargins left="0.5" right="0.5" top="1" bottom="1" header="0.511811023622047" footer="0.5"/>
  <pageSetup paperSize="9" fitToHeight="0" orientation="portrait" horizontalDpi="300" verticalDpi="300"/>
  <headerFooter>
    <oddFooter>&amp;LPY-13 | Crest Point Consulting Group&amp;CPage &amp;P of &amp;N&amp;RStrictly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F7F7F"/>
    <pageSetUpPr fitToPage="1"/>
  </sheetPr>
  <dimension ref="A1:F29"/>
  <sheetViews>
    <sheetView showGridLines="0" zoomScaleNormal="100" workbookViewId="0">
      <selection sqref="A1:B3"/>
    </sheetView>
  </sheetViews>
  <sheetFormatPr defaultColWidth="8.68359375" defaultRowHeight="14.4" x14ac:dyDescent="0.55000000000000004"/>
  <cols>
    <col min="1" max="1" width="6" customWidth="1"/>
    <col min="2" max="2" width="13" customWidth="1"/>
    <col min="3" max="3" width="28" customWidth="1"/>
    <col min="4" max="5" width="24" customWidth="1"/>
    <col min="6" max="6" width="18" customWidth="1"/>
  </cols>
  <sheetData>
    <row r="1" spans="1:6" ht="43.5" customHeight="1" x14ac:dyDescent="0.55000000000000004">
      <c r="A1" s="6" t="s">
        <v>104</v>
      </c>
      <c r="B1" s="6"/>
      <c r="C1" s="5" t="s">
        <v>0</v>
      </c>
      <c r="D1" s="5"/>
      <c r="E1" s="5"/>
      <c r="F1" s="5"/>
    </row>
    <row r="2" spans="1:6" ht="21.75" customHeight="1" x14ac:dyDescent="0.55000000000000004">
      <c r="A2" s="6"/>
      <c r="B2" s="6"/>
      <c r="C2" s="4" t="s">
        <v>476</v>
      </c>
      <c r="D2" s="4"/>
      <c r="E2" s="4"/>
      <c r="F2" s="4"/>
    </row>
    <row r="3" spans="1:6" ht="30.75" customHeight="1" x14ac:dyDescent="0.55000000000000004">
      <c r="A3" s="6"/>
      <c r="B3" s="6"/>
      <c r="C3" s="3" t="s">
        <v>477</v>
      </c>
      <c r="D3" s="3"/>
      <c r="E3" s="3"/>
      <c r="F3" s="3"/>
    </row>
    <row r="5" spans="1:6" ht="19.5" customHeight="1" x14ac:dyDescent="0.55000000000000004">
      <c r="A5" s="9" t="s">
        <v>350</v>
      </c>
      <c r="B5" s="9"/>
      <c r="C5" s="23" t="s">
        <v>351</v>
      </c>
      <c r="D5" s="13" t="s">
        <v>478</v>
      </c>
      <c r="E5" s="1" t="s">
        <v>479</v>
      </c>
      <c r="F5" s="1"/>
    </row>
    <row r="7" spans="1:6" ht="33.75" customHeight="1" x14ac:dyDescent="0.55000000000000004">
      <c r="A7" s="19" t="s">
        <v>132</v>
      </c>
      <c r="B7" s="19" t="s">
        <v>108</v>
      </c>
      <c r="C7" s="19" t="s">
        <v>155</v>
      </c>
      <c r="D7" s="19" t="s">
        <v>127</v>
      </c>
      <c r="E7" s="19" t="s">
        <v>129</v>
      </c>
      <c r="F7" s="19" t="s">
        <v>480</v>
      </c>
    </row>
    <row r="8" spans="1:6" ht="18" customHeight="1" x14ac:dyDescent="0.55000000000000004">
      <c r="A8" s="20">
        <v>1</v>
      </c>
      <c r="B8" s="24" t="s">
        <v>109</v>
      </c>
      <c r="C8" s="24" t="s">
        <v>113</v>
      </c>
      <c r="D8" s="24" t="s">
        <v>128</v>
      </c>
      <c r="E8" s="24" t="s">
        <v>481</v>
      </c>
      <c r="F8" s="30">
        <f>'PY-09 Payroll Calculation'!S9</f>
        <v>29550</v>
      </c>
    </row>
    <row r="9" spans="1:6" ht="18" customHeight="1" x14ac:dyDescent="0.55000000000000004">
      <c r="A9" s="20">
        <v>2</v>
      </c>
      <c r="B9" s="24" t="s">
        <v>372</v>
      </c>
      <c r="C9" s="24" t="s">
        <v>373</v>
      </c>
      <c r="D9" s="24" t="s">
        <v>128</v>
      </c>
      <c r="E9" s="24" t="s">
        <v>482</v>
      </c>
      <c r="F9" s="30">
        <f>'PY-09 Payroll Calculation'!S10</f>
        <v>28100</v>
      </c>
    </row>
    <row r="10" spans="1:6" ht="18" customHeight="1" x14ac:dyDescent="0.55000000000000004">
      <c r="A10" s="20">
        <v>3</v>
      </c>
      <c r="B10" s="24" t="s">
        <v>376</v>
      </c>
      <c r="C10" s="24" t="s">
        <v>377</v>
      </c>
      <c r="D10" s="24" t="s">
        <v>128</v>
      </c>
      <c r="E10" s="24" t="s">
        <v>483</v>
      </c>
      <c r="F10" s="30">
        <f>'PY-09 Payroll Calculation'!S11</f>
        <v>14600</v>
      </c>
    </row>
    <row r="11" spans="1:6" ht="18" customHeight="1" x14ac:dyDescent="0.55000000000000004">
      <c r="A11" s="20">
        <v>4</v>
      </c>
      <c r="B11" s="24" t="s">
        <v>379</v>
      </c>
      <c r="C11" s="24" t="s">
        <v>380</v>
      </c>
      <c r="D11" s="24" t="s">
        <v>128</v>
      </c>
      <c r="E11" s="24" t="s">
        <v>484</v>
      </c>
      <c r="F11" s="30">
        <f>'PY-09 Payroll Calculation'!S12</f>
        <v>115100</v>
      </c>
    </row>
    <row r="12" spans="1:6" x14ac:dyDescent="0.55000000000000004">
      <c r="A12" s="20">
        <v>5</v>
      </c>
      <c r="B12" s="15"/>
      <c r="C12" s="15"/>
      <c r="D12" s="15"/>
      <c r="E12" s="15"/>
      <c r="F12" s="27"/>
    </row>
    <row r="13" spans="1:6" x14ac:dyDescent="0.55000000000000004">
      <c r="A13" s="20">
        <v>6</v>
      </c>
      <c r="B13" s="15"/>
      <c r="C13" s="15"/>
      <c r="D13" s="15"/>
      <c r="E13" s="15"/>
      <c r="F13" s="27"/>
    </row>
    <row r="14" spans="1:6" x14ac:dyDescent="0.55000000000000004">
      <c r="A14" s="20">
        <v>7</v>
      </c>
      <c r="B14" s="15"/>
      <c r="C14" s="15"/>
      <c r="D14" s="15"/>
      <c r="E14" s="15"/>
      <c r="F14" s="27"/>
    </row>
    <row r="15" spans="1:6" x14ac:dyDescent="0.55000000000000004">
      <c r="A15" s="20">
        <v>8</v>
      </c>
      <c r="B15" s="15"/>
      <c r="C15" s="15"/>
      <c r="D15" s="15"/>
      <c r="E15" s="15"/>
      <c r="F15" s="27"/>
    </row>
    <row r="16" spans="1:6" x14ac:dyDescent="0.55000000000000004">
      <c r="A16" s="20">
        <v>9</v>
      </c>
      <c r="B16" s="15"/>
      <c r="C16" s="15"/>
      <c r="D16" s="15"/>
      <c r="E16" s="15"/>
      <c r="F16" s="27"/>
    </row>
    <row r="17" spans="1:6" x14ac:dyDescent="0.55000000000000004">
      <c r="A17" s="20">
        <v>10</v>
      </c>
      <c r="B17" s="15"/>
      <c r="C17" s="15"/>
      <c r="D17" s="15"/>
      <c r="E17" s="15"/>
      <c r="F17" s="27"/>
    </row>
    <row r="18" spans="1:6" ht="18" customHeight="1" x14ac:dyDescent="0.55000000000000004">
      <c r="A18" s="60" t="s">
        <v>485</v>
      </c>
      <c r="B18" s="60"/>
      <c r="C18" s="60"/>
      <c r="D18" s="60"/>
      <c r="E18" s="60"/>
      <c r="F18" s="37">
        <f>SUM(F8:F17)</f>
        <v>187350</v>
      </c>
    </row>
    <row r="20" spans="1:6" ht="43.5" customHeight="1" x14ac:dyDescent="0.55000000000000004">
      <c r="A20" s="49" t="s">
        <v>171</v>
      </c>
      <c r="B20" s="49"/>
      <c r="C20" s="49"/>
      <c r="D20" s="28" t="s">
        <v>142</v>
      </c>
      <c r="E20" s="49" t="s">
        <v>384</v>
      </c>
      <c r="F20" s="49"/>
    </row>
    <row r="21" spans="1:6" ht="19.5" customHeight="1" x14ac:dyDescent="0.55000000000000004">
      <c r="A21" s="8" t="s">
        <v>143</v>
      </c>
      <c r="B21" s="8"/>
      <c r="C21" s="8"/>
      <c r="D21" s="15" t="s">
        <v>143</v>
      </c>
      <c r="E21" s="8" t="s">
        <v>143</v>
      </c>
      <c r="F21" s="8"/>
    </row>
    <row r="22" spans="1:6" ht="19.5" customHeight="1" x14ac:dyDescent="0.55000000000000004">
      <c r="A22" s="8" t="s">
        <v>144</v>
      </c>
      <c r="B22" s="8"/>
      <c r="C22" s="8"/>
      <c r="D22" s="15" t="s">
        <v>144</v>
      </c>
      <c r="E22" s="8" t="s">
        <v>144</v>
      </c>
      <c r="F22" s="8"/>
    </row>
    <row r="23" spans="1:6" ht="43.5" customHeight="1" x14ac:dyDescent="0.55000000000000004">
      <c r="A23" s="50" t="s">
        <v>145</v>
      </c>
      <c r="B23" s="50"/>
      <c r="C23" s="50"/>
      <c r="D23" s="29" t="s">
        <v>145</v>
      </c>
      <c r="E23" s="50" t="s">
        <v>145</v>
      </c>
      <c r="F23" s="50"/>
    </row>
    <row r="24" spans="1:6" ht="19.5" customHeight="1" x14ac:dyDescent="0.55000000000000004">
      <c r="A24" s="8" t="s">
        <v>146</v>
      </c>
      <c r="B24" s="8"/>
      <c r="C24" s="8"/>
      <c r="D24" s="15" t="s">
        <v>146</v>
      </c>
      <c r="E24" s="8" t="s">
        <v>146</v>
      </c>
      <c r="F24" s="8"/>
    </row>
    <row r="26" spans="1:6" ht="18" customHeight="1" x14ac:dyDescent="0.55000000000000004">
      <c r="A26" s="9" t="s">
        <v>147</v>
      </c>
      <c r="B26" s="9"/>
      <c r="C26" s="9"/>
      <c r="D26" s="9"/>
      <c r="E26" s="9"/>
      <c r="F26" s="9"/>
    </row>
    <row r="27" spans="1:6" ht="43.5" customHeight="1" x14ac:dyDescent="0.55000000000000004">
      <c r="A27" s="7" t="s">
        <v>486</v>
      </c>
      <c r="B27" s="7"/>
      <c r="C27" s="7"/>
      <c r="D27" s="7"/>
      <c r="E27" s="7"/>
      <c r="F27" s="7"/>
    </row>
    <row r="28" spans="1:6" ht="30.75" customHeight="1" x14ac:dyDescent="0.55000000000000004">
      <c r="A28" s="7" t="s">
        <v>487</v>
      </c>
      <c r="B28" s="7"/>
      <c r="C28" s="7"/>
      <c r="D28" s="7"/>
      <c r="E28" s="7"/>
      <c r="F28" s="7"/>
    </row>
    <row r="29" spans="1:6" ht="43.5" customHeight="1" x14ac:dyDescent="0.55000000000000004">
      <c r="A29" s="7" t="s">
        <v>326</v>
      </c>
      <c r="B29" s="7"/>
      <c r="C29" s="7"/>
      <c r="D29" s="7"/>
      <c r="E29" s="7"/>
      <c r="F29" s="7"/>
    </row>
  </sheetData>
  <mergeCells count="21">
    <mergeCell ref="A26:F26"/>
    <mergeCell ref="A27:F27"/>
    <mergeCell ref="A28:F28"/>
    <mergeCell ref="A29:F29"/>
    <mergeCell ref="A22:C22"/>
    <mergeCell ref="E22:F22"/>
    <mergeCell ref="A23:C23"/>
    <mergeCell ref="E23:F23"/>
    <mergeCell ref="A24:C24"/>
    <mergeCell ref="E24:F24"/>
    <mergeCell ref="A18:E18"/>
    <mergeCell ref="A20:C20"/>
    <mergeCell ref="E20:F20"/>
    <mergeCell ref="A21:C21"/>
    <mergeCell ref="E21:F21"/>
    <mergeCell ref="A1:B3"/>
    <mergeCell ref="C1:F1"/>
    <mergeCell ref="C2:F2"/>
    <mergeCell ref="C3:F3"/>
    <mergeCell ref="A5:B5"/>
    <mergeCell ref="E5:F5"/>
  </mergeCells>
  <pageMargins left="0.5" right="0.5" top="1" bottom="1" header="0.511811023622047" footer="0.5"/>
  <pageSetup paperSize="9" fitToHeight="0" orientation="portrait" horizontalDpi="300" verticalDpi="300"/>
  <headerFooter>
    <oddFooter>&amp;LPY-14 | Crest Point Consulting Group&amp;CPage &amp;P of &amp;N&amp;RStrictly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pageSetUpPr fitToPage="1"/>
  </sheetPr>
  <dimension ref="A1:G21"/>
  <sheetViews>
    <sheetView showGridLines="0" zoomScaleNormal="100" workbookViewId="0">
      <selection sqref="A1:B3"/>
    </sheetView>
  </sheetViews>
  <sheetFormatPr defaultColWidth="8.68359375" defaultRowHeight="14.4" x14ac:dyDescent="0.55000000000000004"/>
  <cols>
    <col min="1" max="2" width="18" customWidth="1"/>
    <col min="3" max="3" width="10" customWidth="1"/>
    <col min="4" max="5" width="16" customWidth="1"/>
    <col min="6" max="6" width="12" customWidth="1"/>
    <col min="7" max="7" width="26" customWidth="1"/>
  </cols>
  <sheetData>
    <row r="1" spans="1:7" ht="21.75" customHeight="1" x14ac:dyDescent="0.55000000000000004">
      <c r="A1" s="6" t="s">
        <v>104</v>
      </c>
      <c r="B1" s="6"/>
      <c r="C1" s="5" t="s">
        <v>0</v>
      </c>
      <c r="D1" s="5"/>
      <c r="E1" s="5"/>
      <c r="F1" s="5"/>
      <c r="G1" s="5"/>
    </row>
    <row r="2" spans="1:7" ht="21.75" customHeight="1" x14ac:dyDescent="0.55000000000000004">
      <c r="A2" s="6"/>
      <c r="B2" s="6"/>
      <c r="C2" s="4" t="s">
        <v>488</v>
      </c>
      <c r="D2" s="4"/>
      <c r="E2" s="4"/>
      <c r="F2" s="4"/>
      <c r="G2" s="4"/>
    </row>
    <row r="3" spans="1:7" ht="30.75" customHeight="1" x14ac:dyDescent="0.55000000000000004">
      <c r="A3" s="6"/>
      <c r="B3" s="6"/>
      <c r="C3" s="3" t="s">
        <v>489</v>
      </c>
      <c r="D3" s="3"/>
      <c r="E3" s="3"/>
      <c r="F3" s="3"/>
      <c r="G3" s="3"/>
    </row>
    <row r="5" spans="1:7" ht="30.75" customHeight="1" x14ac:dyDescent="0.55000000000000004">
      <c r="A5" s="65" t="s">
        <v>490</v>
      </c>
      <c r="B5" s="65"/>
      <c r="C5" s="65"/>
      <c r="D5" s="65"/>
      <c r="E5" s="65"/>
      <c r="F5" s="65"/>
      <c r="G5" s="65"/>
    </row>
    <row r="7" spans="1:7" ht="43.5" customHeight="1" x14ac:dyDescent="0.55000000000000004">
      <c r="A7" s="19" t="s">
        <v>491</v>
      </c>
      <c r="B7" s="19" t="s">
        <v>492</v>
      </c>
      <c r="C7" s="19" t="s">
        <v>493</v>
      </c>
      <c r="D7" s="19" t="s">
        <v>494</v>
      </c>
      <c r="E7" s="19" t="s">
        <v>495</v>
      </c>
      <c r="F7" s="19" t="s">
        <v>110</v>
      </c>
      <c r="G7" s="19" t="s">
        <v>496</v>
      </c>
    </row>
    <row r="8" spans="1:7" ht="19.5" customHeight="1" x14ac:dyDescent="0.55000000000000004">
      <c r="A8" s="43">
        <v>0</v>
      </c>
      <c r="B8" s="43">
        <v>5000</v>
      </c>
      <c r="C8" s="44">
        <v>0</v>
      </c>
      <c r="D8" s="25">
        <v>46023</v>
      </c>
      <c r="E8" s="24"/>
      <c r="F8" s="24" t="s">
        <v>111</v>
      </c>
      <c r="G8" s="30">
        <f>0</f>
        <v>0</v>
      </c>
    </row>
    <row r="9" spans="1:7" ht="19.5" customHeight="1" x14ac:dyDescent="0.55000000000000004">
      <c r="A9" s="43">
        <v>5000</v>
      </c>
      <c r="B9" s="43">
        <v>12500</v>
      </c>
      <c r="C9" s="44">
        <v>0.02</v>
      </c>
      <c r="D9" s="25">
        <v>46023</v>
      </c>
      <c r="E9" s="24"/>
      <c r="F9" s="24" t="s">
        <v>111</v>
      </c>
      <c r="G9" s="30">
        <f>G8+(B8-A8)*C8</f>
        <v>0</v>
      </c>
    </row>
    <row r="10" spans="1:7" ht="19.5" customHeight="1" x14ac:dyDescent="0.55000000000000004">
      <c r="A10" s="43">
        <v>12500</v>
      </c>
      <c r="B10" s="43">
        <v>100000</v>
      </c>
      <c r="C10" s="44">
        <v>0.1</v>
      </c>
      <c r="D10" s="25">
        <v>46023</v>
      </c>
      <c r="E10" s="24"/>
      <c r="F10" s="24" t="s">
        <v>111</v>
      </c>
      <c r="G10" s="30">
        <f>G9+(B9-A9)*C9</f>
        <v>150</v>
      </c>
    </row>
    <row r="11" spans="1:7" ht="19.5" customHeight="1" x14ac:dyDescent="0.55000000000000004">
      <c r="A11" s="43">
        <v>100000</v>
      </c>
      <c r="B11" s="43">
        <v>999999999</v>
      </c>
      <c r="C11" s="44">
        <v>0.2</v>
      </c>
      <c r="D11" s="25">
        <v>46023</v>
      </c>
      <c r="E11" s="24"/>
      <c r="F11" s="24" t="s">
        <v>111</v>
      </c>
      <c r="G11" s="30">
        <f>G10+(B10-A10)*C10</f>
        <v>8900</v>
      </c>
    </row>
    <row r="13" spans="1:7" ht="18" customHeight="1" x14ac:dyDescent="0.55000000000000004">
      <c r="A13" s="2" t="s">
        <v>497</v>
      </c>
      <c r="B13" s="2"/>
      <c r="C13" s="59"/>
      <c r="D13" s="59"/>
      <c r="E13" s="59"/>
      <c r="F13" s="59"/>
      <c r="G13" s="59"/>
    </row>
    <row r="14" spans="1:7" ht="18" customHeight="1" x14ac:dyDescent="0.55000000000000004">
      <c r="A14" s="9" t="s">
        <v>498</v>
      </c>
      <c r="B14" s="9"/>
      <c r="C14" s="48">
        <v>130000</v>
      </c>
      <c r="D14" s="48"/>
    </row>
    <row r="15" spans="1:7" ht="18" customHeight="1" x14ac:dyDescent="0.55000000000000004">
      <c r="A15" s="9" t="s">
        <v>499</v>
      </c>
      <c r="B15" s="9"/>
      <c r="C15" s="53">
        <f>ROUND(SUMPRODUCT((A8:A11&lt;C14)*((C14&lt;B8:B11)*C14+(C14&gt;=B8:B11)*B8:B11-A8:A11)*C8:C11),2)</f>
        <v>14900</v>
      </c>
      <c r="D15" s="53"/>
      <c r="E15" s="66" t="str">
        <f>IF(C15=C16,"Test passes - formula agrees with the published table","CHECK SLAB TABLE")</f>
        <v>Test passes - formula agrees with the published table</v>
      </c>
      <c r="F15" s="66"/>
      <c r="G15" s="66"/>
    </row>
    <row r="16" spans="1:7" ht="30.75" customHeight="1" x14ac:dyDescent="0.55000000000000004">
      <c r="A16" s="9" t="s">
        <v>500</v>
      </c>
      <c r="B16" s="9"/>
      <c r="C16" s="53">
        <f>ROUND(G11+(C14-A11)*C11,2)</f>
        <v>14900</v>
      </c>
      <c r="D16" s="53"/>
      <c r="E16" s="66"/>
      <c r="F16" s="66"/>
      <c r="G16" s="66"/>
    </row>
    <row r="18" spans="1:7" ht="18" customHeight="1" x14ac:dyDescent="0.55000000000000004">
      <c r="A18" s="9" t="s">
        <v>147</v>
      </c>
      <c r="B18" s="9"/>
      <c r="C18" s="9"/>
      <c r="D18" s="9"/>
      <c r="E18" s="9"/>
      <c r="F18" s="9"/>
      <c r="G18" s="9"/>
    </row>
    <row r="19" spans="1:7" ht="39.75" customHeight="1" x14ac:dyDescent="0.55000000000000004">
      <c r="A19" s="7" t="s">
        <v>501</v>
      </c>
      <c r="B19" s="7"/>
      <c r="C19" s="7"/>
      <c r="D19" s="7"/>
      <c r="E19" s="7"/>
      <c r="F19" s="7"/>
      <c r="G19" s="7"/>
    </row>
    <row r="20" spans="1:7" ht="43.5" customHeight="1" x14ac:dyDescent="0.55000000000000004">
      <c r="A20" s="7" t="s">
        <v>502</v>
      </c>
      <c r="B20" s="7"/>
      <c r="C20" s="7"/>
      <c r="D20" s="7"/>
      <c r="E20" s="7"/>
      <c r="F20" s="7"/>
      <c r="G20" s="7"/>
    </row>
    <row r="21" spans="1:7" ht="39.75" customHeight="1" x14ac:dyDescent="0.55000000000000004">
      <c r="A21" s="7" t="s">
        <v>503</v>
      </c>
      <c r="B21" s="7"/>
      <c r="C21" s="7"/>
      <c r="D21" s="7"/>
      <c r="E21" s="7"/>
      <c r="F21" s="7"/>
      <c r="G21" s="7"/>
    </row>
  </sheetData>
  <mergeCells count="18">
    <mergeCell ref="A18:G18"/>
    <mergeCell ref="A19:G19"/>
    <mergeCell ref="A20:G20"/>
    <mergeCell ref="A21:G21"/>
    <mergeCell ref="A13:B13"/>
    <mergeCell ref="C13:G13"/>
    <mergeCell ref="A14:B14"/>
    <mergeCell ref="C14:D14"/>
    <mergeCell ref="A15:B15"/>
    <mergeCell ref="C15:D15"/>
    <mergeCell ref="E15:G16"/>
    <mergeCell ref="A16:B16"/>
    <mergeCell ref="C16:D16"/>
    <mergeCell ref="A1:B3"/>
    <mergeCell ref="C1:G1"/>
    <mergeCell ref="C2:G2"/>
    <mergeCell ref="C3:G3"/>
    <mergeCell ref="A5:G5"/>
  </mergeCells>
  <pageMargins left="0.5" right="0.5" top="1" bottom="1" header="0.511811023622047" footer="0.5"/>
  <pageSetup paperSize="9" fitToHeight="0" orientation="portrait" horizontalDpi="300" verticalDpi="300"/>
  <headerFooter>
    <oddFooter>&amp;LPY-15 | Crest Point Consulting Group&amp;CPage &amp;P of &amp;N&amp;RStrictly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pageSetUpPr fitToPage="1"/>
  </sheetPr>
  <dimension ref="A1:H21"/>
  <sheetViews>
    <sheetView showGridLines="0" zoomScaleNormal="100" workbookViewId="0">
      <selection sqref="A1:B3"/>
    </sheetView>
  </sheetViews>
  <sheetFormatPr defaultColWidth="8.68359375" defaultRowHeight="14.4" x14ac:dyDescent="0.55000000000000004"/>
  <cols>
    <col min="1" max="1" width="14" customWidth="1"/>
    <col min="2" max="2" width="18" customWidth="1"/>
    <col min="3" max="3" width="16" customWidth="1"/>
    <col min="4" max="4" width="18" customWidth="1"/>
    <col min="5" max="5" width="16" customWidth="1"/>
    <col min="6" max="7" width="18" customWidth="1"/>
    <col min="8" max="8" width="22" customWidth="1"/>
  </cols>
  <sheetData>
    <row r="1" spans="1:8" ht="30.75" customHeight="1" x14ac:dyDescent="0.55000000000000004">
      <c r="A1" s="6" t="s">
        <v>104</v>
      </c>
      <c r="B1" s="6"/>
      <c r="C1" s="5" t="s">
        <v>0</v>
      </c>
      <c r="D1" s="5"/>
      <c r="E1" s="5"/>
      <c r="F1" s="5"/>
      <c r="G1" s="5"/>
      <c r="H1" s="5"/>
    </row>
    <row r="2" spans="1:8" ht="21.75" customHeight="1" x14ac:dyDescent="0.55000000000000004">
      <c r="A2" s="6"/>
      <c r="B2" s="6"/>
      <c r="C2" s="4" t="s">
        <v>504</v>
      </c>
      <c r="D2" s="4"/>
      <c r="E2" s="4"/>
      <c r="F2" s="4"/>
      <c r="G2" s="4"/>
      <c r="H2" s="4"/>
    </row>
    <row r="3" spans="1:8" ht="21.75" customHeight="1" x14ac:dyDescent="0.55000000000000004">
      <c r="A3" s="6"/>
      <c r="B3" s="6"/>
      <c r="C3" s="3" t="s">
        <v>505</v>
      </c>
      <c r="D3" s="3"/>
      <c r="E3" s="3"/>
      <c r="F3" s="3"/>
      <c r="G3" s="3"/>
      <c r="H3" s="3"/>
    </row>
    <row r="5" spans="1:8" ht="30.75" customHeight="1" x14ac:dyDescent="0.55000000000000004">
      <c r="A5" s="9" t="s">
        <v>506</v>
      </c>
      <c r="B5" s="9"/>
      <c r="C5" s="1">
        <v>10</v>
      </c>
      <c r="D5" s="1"/>
      <c r="E5" s="9" t="s">
        <v>507</v>
      </c>
      <c r="F5" s="9"/>
      <c r="G5" s="52">
        <v>46331</v>
      </c>
      <c r="H5" s="52"/>
    </row>
    <row r="6" spans="1:8" ht="30.75" customHeight="1" x14ac:dyDescent="0.55000000000000004">
      <c r="A6" s="67" t="s">
        <v>508</v>
      </c>
      <c r="B6" s="67"/>
      <c r="C6" s="67"/>
      <c r="D6" s="67"/>
      <c r="E6" s="67"/>
      <c r="F6" s="67"/>
      <c r="G6" s="67"/>
      <c r="H6" s="67"/>
    </row>
    <row r="8" spans="1:8" ht="33.75" customHeight="1" x14ac:dyDescent="0.55000000000000004">
      <c r="A8" s="19" t="s">
        <v>352</v>
      </c>
      <c r="B8" s="19" t="s">
        <v>509</v>
      </c>
      <c r="C8" s="19" t="s">
        <v>510</v>
      </c>
      <c r="D8" s="19" t="s">
        <v>511</v>
      </c>
      <c r="E8" s="19" t="s">
        <v>512</v>
      </c>
      <c r="F8" s="19" t="s">
        <v>513</v>
      </c>
      <c r="G8" s="19" t="s">
        <v>514</v>
      </c>
      <c r="H8" s="19" t="s">
        <v>515</v>
      </c>
    </row>
    <row r="9" spans="1:8" ht="19.5" customHeight="1" x14ac:dyDescent="0.55000000000000004">
      <c r="A9" s="45">
        <v>46235</v>
      </c>
      <c r="B9" s="26">
        <v>428000</v>
      </c>
      <c r="C9" s="32">
        <f t="shared" ref="C9:C16" si="0">IF(A9="","",EOMONTH(A9,0)+$C$5)</f>
        <v>46275</v>
      </c>
      <c r="D9" s="26">
        <v>428000</v>
      </c>
      <c r="E9" s="25">
        <v>46273</v>
      </c>
      <c r="F9" s="24" t="s">
        <v>516</v>
      </c>
      <c r="G9" s="30">
        <f t="shared" ref="G9:G16" si="1">IF(A9="","",B9-N(D9))</f>
        <v>0</v>
      </c>
      <c r="H9" s="23" t="str">
        <f t="shared" ref="H9:H16" si="2">IF(A9="","",IF(G9&lt;=0,"Remitted in full",IF($G$5&gt;C9,"OVERDUE","Due - not yet late")))</f>
        <v>Remitted in full</v>
      </c>
    </row>
    <row r="10" spans="1:8" ht="19.5" customHeight="1" x14ac:dyDescent="0.55000000000000004">
      <c r="A10" s="45">
        <v>46266</v>
      </c>
      <c r="B10" s="26">
        <v>455500</v>
      </c>
      <c r="C10" s="32">
        <f t="shared" si="0"/>
        <v>46305</v>
      </c>
      <c r="D10" s="26">
        <v>400000</v>
      </c>
      <c r="E10" s="25">
        <v>46304</v>
      </c>
      <c r="F10" s="24" t="s">
        <v>517</v>
      </c>
      <c r="G10" s="30">
        <f t="shared" si="1"/>
        <v>55500</v>
      </c>
      <c r="H10" s="23" t="str">
        <f t="shared" si="2"/>
        <v>OVERDUE</v>
      </c>
    </row>
    <row r="11" spans="1:8" ht="19.5" customHeight="1" x14ac:dyDescent="0.55000000000000004">
      <c r="A11" s="45">
        <v>46296</v>
      </c>
      <c r="B11" s="26">
        <v>462300</v>
      </c>
      <c r="C11" s="32">
        <f t="shared" si="0"/>
        <v>46336</v>
      </c>
      <c r="D11" s="26"/>
      <c r="E11" s="25"/>
      <c r="F11" s="24"/>
      <c r="G11" s="30">
        <f t="shared" si="1"/>
        <v>462300</v>
      </c>
      <c r="H11" s="23" t="str">
        <f t="shared" si="2"/>
        <v>Due - not yet late</v>
      </c>
    </row>
    <row r="12" spans="1:8" ht="19.5" customHeight="1" x14ac:dyDescent="0.55000000000000004">
      <c r="A12" s="46"/>
      <c r="B12" s="27"/>
      <c r="C12" s="32" t="str">
        <f t="shared" si="0"/>
        <v/>
      </c>
      <c r="D12" s="27"/>
      <c r="E12" s="47"/>
      <c r="F12" s="15"/>
      <c r="G12" s="30" t="str">
        <f t="shared" si="1"/>
        <v/>
      </c>
      <c r="H12" s="23" t="str">
        <f t="shared" si="2"/>
        <v/>
      </c>
    </row>
    <row r="13" spans="1:8" ht="19.5" customHeight="1" x14ac:dyDescent="0.55000000000000004">
      <c r="A13" s="46"/>
      <c r="B13" s="27"/>
      <c r="C13" s="32" t="str">
        <f t="shared" si="0"/>
        <v/>
      </c>
      <c r="D13" s="27"/>
      <c r="E13" s="47"/>
      <c r="F13" s="15"/>
      <c r="G13" s="30" t="str">
        <f t="shared" si="1"/>
        <v/>
      </c>
      <c r="H13" s="23" t="str">
        <f t="shared" si="2"/>
        <v/>
      </c>
    </row>
    <row r="14" spans="1:8" ht="19.5" customHeight="1" x14ac:dyDescent="0.55000000000000004">
      <c r="A14" s="46"/>
      <c r="B14" s="27"/>
      <c r="C14" s="32" t="str">
        <f t="shared" si="0"/>
        <v/>
      </c>
      <c r="D14" s="27"/>
      <c r="E14" s="47"/>
      <c r="F14" s="15"/>
      <c r="G14" s="30" t="str">
        <f t="shared" si="1"/>
        <v/>
      </c>
      <c r="H14" s="23" t="str">
        <f t="shared" si="2"/>
        <v/>
      </c>
    </row>
    <row r="15" spans="1:8" ht="19.5" customHeight="1" x14ac:dyDescent="0.55000000000000004">
      <c r="A15" s="46"/>
      <c r="B15" s="27"/>
      <c r="C15" s="32" t="str">
        <f t="shared" si="0"/>
        <v/>
      </c>
      <c r="D15" s="27"/>
      <c r="E15" s="47"/>
      <c r="F15" s="15"/>
      <c r="G15" s="30" t="str">
        <f t="shared" si="1"/>
        <v/>
      </c>
      <c r="H15" s="23" t="str">
        <f t="shared" si="2"/>
        <v/>
      </c>
    </row>
    <row r="16" spans="1:8" ht="19.5" customHeight="1" x14ac:dyDescent="0.55000000000000004">
      <c r="A16" s="46"/>
      <c r="B16" s="27"/>
      <c r="C16" s="32" t="str">
        <f t="shared" si="0"/>
        <v/>
      </c>
      <c r="D16" s="27"/>
      <c r="E16" s="47"/>
      <c r="F16" s="15"/>
      <c r="G16" s="30" t="str">
        <f t="shared" si="1"/>
        <v/>
      </c>
      <c r="H16" s="23" t="str">
        <f t="shared" si="2"/>
        <v/>
      </c>
    </row>
    <row r="17" spans="1:8" ht="18" customHeight="1" x14ac:dyDescent="0.55000000000000004">
      <c r="A17" s="13" t="s">
        <v>285</v>
      </c>
      <c r="B17" s="37">
        <f>SUM(B9:B16)</f>
        <v>1345800</v>
      </c>
      <c r="C17" s="34"/>
      <c r="D17" s="37">
        <f>SUM(D9:D16)</f>
        <v>828000</v>
      </c>
      <c r="E17" s="68"/>
      <c r="F17" s="68"/>
      <c r="G17" s="37">
        <f>SUM(G9:G16)</f>
        <v>517800</v>
      </c>
      <c r="H17" s="34"/>
    </row>
    <row r="19" spans="1:8" ht="18" customHeight="1" x14ac:dyDescent="0.55000000000000004">
      <c r="A19" s="9" t="s">
        <v>147</v>
      </c>
      <c r="B19" s="9"/>
      <c r="C19" s="9"/>
      <c r="D19" s="9"/>
      <c r="E19" s="9"/>
      <c r="F19" s="9"/>
      <c r="G19" s="9"/>
      <c r="H19" s="9"/>
    </row>
    <row r="20" spans="1:8" ht="30.75" customHeight="1" x14ac:dyDescent="0.55000000000000004">
      <c r="A20" s="7" t="s">
        <v>518</v>
      </c>
      <c r="B20" s="7"/>
      <c r="C20" s="7"/>
      <c r="D20" s="7"/>
      <c r="E20" s="7"/>
      <c r="F20" s="7"/>
      <c r="G20" s="7"/>
      <c r="H20" s="7"/>
    </row>
    <row r="21" spans="1:8" ht="25.5" customHeight="1" x14ac:dyDescent="0.55000000000000004">
      <c r="A21" s="7" t="s">
        <v>519</v>
      </c>
      <c r="B21" s="7"/>
      <c r="C21" s="7"/>
      <c r="D21" s="7"/>
      <c r="E21" s="7"/>
      <c r="F21" s="7"/>
      <c r="G21" s="7"/>
      <c r="H21" s="7"/>
    </row>
  </sheetData>
  <mergeCells count="13">
    <mergeCell ref="A6:H6"/>
    <mergeCell ref="E17:F17"/>
    <mergeCell ref="A19:H19"/>
    <mergeCell ref="A20:H20"/>
    <mergeCell ref="A21:H21"/>
    <mergeCell ref="A1:B3"/>
    <mergeCell ref="C1:H1"/>
    <mergeCell ref="C2:H2"/>
    <mergeCell ref="C3:H3"/>
    <mergeCell ref="A5:B5"/>
    <mergeCell ref="C5:D5"/>
    <mergeCell ref="E5:F5"/>
    <mergeCell ref="G5:H5"/>
  </mergeCells>
  <pageMargins left="0.5" right="0.5" top="1" bottom="1" header="0.511811023622047" footer="0.5"/>
  <pageSetup paperSize="9" fitToHeight="0" orientation="landscape" horizontalDpi="300" verticalDpi="300"/>
  <headerFooter>
    <oddFooter>&amp;LPY-16 | Crest Point Consulting Group&amp;CPage &amp;P of &amp;N&amp;RStrictly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pageSetUpPr fitToPage="1"/>
  </sheetPr>
  <dimension ref="A1:F33"/>
  <sheetViews>
    <sheetView showGridLines="0" zoomScaleNormal="100" workbookViewId="0">
      <selection sqref="A1:B3"/>
    </sheetView>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104</v>
      </c>
      <c r="B1" s="6"/>
      <c r="C1" s="5" t="s">
        <v>0</v>
      </c>
      <c r="D1" s="5"/>
      <c r="E1" s="5"/>
      <c r="F1" s="5"/>
    </row>
    <row r="2" spans="1:6" ht="21.75" customHeight="1" x14ac:dyDescent="0.55000000000000004">
      <c r="A2" s="6"/>
      <c r="B2" s="6"/>
      <c r="C2" s="4" t="s">
        <v>520</v>
      </c>
      <c r="D2" s="4"/>
      <c r="E2" s="4"/>
      <c r="F2" s="4"/>
    </row>
    <row r="3" spans="1:6" ht="21.75" customHeight="1" x14ac:dyDescent="0.55000000000000004">
      <c r="A3" s="6"/>
      <c r="B3" s="6"/>
      <c r="C3" s="3" t="s">
        <v>521</v>
      </c>
      <c r="D3" s="3"/>
      <c r="E3" s="3"/>
      <c r="F3" s="3"/>
    </row>
    <row r="5" spans="1:6" ht="18" customHeight="1" x14ac:dyDescent="0.55000000000000004">
      <c r="A5" s="2" t="s">
        <v>522</v>
      </c>
      <c r="B5" s="2"/>
      <c r="C5" s="2"/>
      <c r="D5" s="2"/>
      <c r="E5" s="2"/>
      <c r="F5" s="2"/>
    </row>
    <row r="6" spans="1:6" ht="19.5" customHeight="1" x14ac:dyDescent="0.55000000000000004">
      <c r="A6" s="9" t="s">
        <v>523</v>
      </c>
      <c r="B6" s="9"/>
      <c r="C6" s="23" t="s">
        <v>524</v>
      </c>
      <c r="D6" s="13" t="s">
        <v>525</v>
      </c>
      <c r="E6" s="61">
        <v>46322.40625</v>
      </c>
      <c r="F6" s="61"/>
    </row>
    <row r="7" spans="1:6" ht="19.5" customHeight="1" x14ac:dyDescent="0.55000000000000004">
      <c r="A7" s="9" t="s">
        <v>526</v>
      </c>
      <c r="B7" s="9"/>
      <c r="C7" s="23" t="s">
        <v>527</v>
      </c>
      <c r="D7" s="13" t="s">
        <v>242</v>
      </c>
      <c r="E7" s="51" t="s">
        <v>123</v>
      </c>
      <c r="F7" s="51"/>
    </row>
    <row r="8" spans="1:6" ht="19.5" customHeight="1" x14ac:dyDescent="0.55000000000000004">
      <c r="A8" s="9" t="s">
        <v>528</v>
      </c>
      <c r="B8" s="9"/>
      <c r="C8" s="24" t="s">
        <v>529</v>
      </c>
      <c r="D8" s="13" t="s">
        <v>530</v>
      </c>
      <c r="E8" s="1" t="s">
        <v>531</v>
      </c>
      <c r="F8" s="1"/>
    </row>
    <row r="9" spans="1:6" ht="19.5" customHeight="1" x14ac:dyDescent="0.55000000000000004">
      <c r="A9" s="9" t="s">
        <v>532</v>
      </c>
      <c r="B9" s="9"/>
      <c r="C9" s="23" t="s">
        <v>533</v>
      </c>
      <c r="D9" s="13" t="s">
        <v>534</v>
      </c>
      <c r="E9" s="51" t="s">
        <v>535</v>
      </c>
      <c r="F9" s="51"/>
    </row>
    <row r="10" spans="1:6" ht="30" customHeight="1" x14ac:dyDescent="0.55000000000000004">
      <c r="A10" s="9" t="s">
        <v>536</v>
      </c>
      <c r="B10" s="9"/>
      <c r="C10" s="1" t="s">
        <v>537</v>
      </c>
      <c r="D10" s="1"/>
      <c r="E10" s="1"/>
      <c r="F10" s="1"/>
    </row>
    <row r="11" spans="1:6" ht="30" customHeight="1" x14ac:dyDescent="0.55000000000000004">
      <c r="A11" s="9" t="s">
        <v>538</v>
      </c>
      <c r="B11" s="9"/>
      <c r="C11" s="1" t="s">
        <v>539</v>
      </c>
      <c r="D11" s="1"/>
      <c r="E11" s="1"/>
      <c r="F11" s="1"/>
    </row>
    <row r="12" spans="1:6" ht="30" customHeight="1" x14ac:dyDescent="0.55000000000000004">
      <c r="A12" s="9" t="s">
        <v>540</v>
      </c>
      <c r="B12" s="9"/>
      <c r="C12" s="1" t="s">
        <v>541</v>
      </c>
      <c r="D12" s="1"/>
      <c r="E12" s="1"/>
      <c r="F12" s="1"/>
    </row>
    <row r="14" spans="1:6" ht="18" customHeight="1" x14ac:dyDescent="0.55000000000000004">
      <c r="A14" s="2" t="s">
        <v>542</v>
      </c>
      <c r="B14" s="2"/>
      <c r="C14" s="2"/>
      <c r="D14" s="2"/>
      <c r="E14" s="2"/>
      <c r="F14" s="2"/>
    </row>
    <row r="15" spans="1:6" ht="19.5" customHeight="1" x14ac:dyDescent="0.55000000000000004">
      <c r="A15" s="9" t="s">
        <v>543</v>
      </c>
      <c r="B15" s="9"/>
      <c r="C15" s="24" t="s">
        <v>311</v>
      </c>
      <c r="D15" s="13" t="s">
        <v>544</v>
      </c>
      <c r="E15" s="61">
        <v>46322.4375</v>
      </c>
      <c r="F15" s="61"/>
    </row>
    <row r="16" spans="1:6" ht="30.75" customHeight="1" x14ac:dyDescent="0.55000000000000004">
      <c r="A16" s="9" t="s">
        <v>545</v>
      </c>
      <c r="B16" s="9"/>
      <c r="C16" s="1"/>
      <c r="D16" s="1"/>
      <c r="E16" s="1"/>
      <c r="F16" s="1"/>
    </row>
    <row r="17" spans="1:6" ht="30.75" customHeight="1" x14ac:dyDescent="0.55000000000000004">
      <c r="A17" s="9" t="s">
        <v>546</v>
      </c>
      <c r="B17" s="9"/>
      <c r="C17" s="23" t="s">
        <v>547</v>
      </c>
      <c r="D17" s="13" t="s">
        <v>548</v>
      </c>
      <c r="E17" s="51" t="s">
        <v>549</v>
      </c>
      <c r="F17" s="51"/>
    </row>
    <row r="19" spans="1:6" ht="18" customHeight="1" x14ac:dyDescent="0.55000000000000004">
      <c r="A19" s="2" t="s">
        <v>550</v>
      </c>
      <c r="B19" s="2"/>
      <c r="C19" s="2"/>
      <c r="D19" s="2"/>
      <c r="E19" s="2"/>
      <c r="F19" s="2"/>
    </row>
    <row r="20" spans="1:6" ht="18" customHeight="1" x14ac:dyDescent="0.55000000000000004">
      <c r="A20" s="9" t="s">
        <v>551</v>
      </c>
      <c r="B20" s="9"/>
      <c r="C20" s="9"/>
      <c r="D20" s="69" t="s">
        <v>552</v>
      </c>
      <c r="E20" s="69"/>
      <c r="F20" s="69"/>
    </row>
    <row r="21" spans="1:6" ht="18" customHeight="1" x14ac:dyDescent="0.55000000000000004">
      <c r="A21" s="9" t="s">
        <v>553</v>
      </c>
      <c r="B21" s="9"/>
      <c r="C21" s="9"/>
      <c r="D21" s="69" t="s">
        <v>552</v>
      </c>
      <c r="E21" s="69"/>
      <c r="F21" s="69"/>
    </row>
    <row r="22" spans="1:6" ht="18" customHeight="1" x14ac:dyDescent="0.55000000000000004">
      <c r="A22" s="9" t="s">
        <v>554</v>
      </c>
      <c r="B22" s="9"/>
      <c r="C22" s="9"/>
      <c r="D22" s="69" t="s">
        <v>552</v>
      </c>
      <c r="E22" s="69"/>
      <c r="F22" s="69"/>
    </row>
    <row r="23" spans="1:6" ht="18" customHeight="1" x14ac:dyDescent="0.55000000000000004">
      <c r="A23" s="9" t="s">
        <v>555</v>
      </c>
      <c r="B23" s="9"/>
      <c r="C23" s="9"/>
      <c r="D23" s="69" t="s">
        <v>552</v>
      </c>
      <c r="E23" s="69"/>
      <c r="F23" s="69"/>
    </row>
    <row r="25" spans="1:6" ht="30.75" customHeight="1" x14ac:dyDescent="0.55000000000000004">
      <c r="A25" s="49" t="s">
        <v>556</v>
      </c>
      <c r="B25" s="49"/>
      <c r="C25" s="49"/>
      <c r="D25" s="49" t="s">
        <v>557</v>
      </c>
      <c r="E25" s="49"/>
      <c r="F25" s="49"/>
    </row>
    <row r="26" spans="1:6" ht="19.5" customHeight="1" x14ac:dyDescent="0.55000000000000004">
      <c r="A26" s="8" t="s">
        <v>143</v>
      </c>
      <c r="B26" s="8"/>
      <c r="C26" s="8"/>
      <c r="D26" s="8" t="s">
        <v>143</v>
      </c>
      <c r="E26" s="8"/>
      <c r="F26" s="8"/>
    </row>
    <row r="27" spans="1:6" ht="19.5" customHeight="1" x14ac:dyDescent="0.55000000000000004">
      <c r="A27" s="8" t="s">
        <v>144</v>
      </c>
      <c r="B27" s="8"/>
      <c r="C27" s="8"/>
      <c r="D27" s="8" t="s">
        <v>144</v>
      </c>
      <c r="E27" s="8"/>
      <c r="F27" s="8"/>
    </row>
    <row r="28" spans="1:6" ht="43.5" customHeight="1" x14ac:dyDescent="0.55000000000000004">
      <c r="A28" s="50" t="s">
        <v>145</v>
      </c>
      <c r="B28" s="50"/>
      <c r="C28" s="50"/>
      <c r="D28" s="50" t="s">
        <v>145</v>
      </c>
      <c r="E28" s="50"/>
      <c r="F28" s="50"/>
    </row>
    <row r="29" spans="1:6" ht="19.5" customHeight="1" x14ac:dyDescent="0.55000000000000004">
      <c r="A29" s="8" t="s">
        <v>146</v>
      </c>
      <c r="B29" s="8"/>
      <c r="C29" s="8"/>
      <c r="D29" s="8" t="s">
        <v>146</v>
      </c>
      <c r="E29" s="8"/>
      <c r="F29" s="8"/>
    </row>
    <row r="31" spans="1:6" ht="18" customHeight="1" x14ac:dyDescent="0.55000000000000004">
      <c r="A31" s="9" t="s">
        <v>147</v>
      </c>
      <c r="B31" s="9"/>
      <c r="C31" s="9"/>
      <c r="D31" s="9"/>
      <c r="E31" s="9"/>
      <c r="F31" s="9"/>
    </row>
    <row r="32" spans="1:6" ht="30.75" customHeight="1" x14ac:dyDescent="0.55000000000000004">
      <c r="A32" s="7" t="s">
        <v>558</v>
      </c>
      <c r="B32" s="7"/>
      <c r="C32" s="7"/>
      <c r="D32" s="7"/>
      <c r="E32" s="7"/>
      <c r="F32" s="7"/>
    </row>
    <row r="33" spans="1:6" ht="30.75" customHeight="1" x14ac:dyDescent="0.55000000000000004">
      <c r="A33" s="7" t="s">
        <v>559</v>
      </c>
      <c r="B33" s="7"/>
      <c r="C33" s="7"/>
      <c r="D33" s="7"/>
      <c r="E33" s="7"/>
      <c r="F33" s="7"/>
    </row>
  </sheetData>
  <mergeCells count="48">
    <mergeCell ref="A31:F31"/>
    <mergeCell ref="A32:F32"/>
    <mergeCell ref="A33:F33"/>
    <mergeCell ref="A27:C27"/>
    <mergeCell ref="D27:F27"/>
    <mergeCell ref="A28:C28"/>
    <mergeCell ref="D28:F28"/>
    <mergeCell ref="A29:C29"/>
    <mergeCell ref="D29:F29"/>
    <mergeCell ref="A23:C23"/>
    <mergeCell ref="D23:F23"/>
    <mergeCell ref="A25:C25"/>
    <mergeCell ref="D25:F25"/>
    <mergeCell ref="A26:C26"/>
    <mergeCell ref="D26:F26"/>
    <mergeCell ref="A20:C20"/>
    <mergeCell ref="D20:F20"/>
    <mergeCell ref="A21:C21"/>
    <mergeCell ref="D21:F21"/>
    <mergeCell ref="A22:C22"/>
    <mergeCell ref="D22:F22"/>
    <mergeCell ref="A16:B16"/>
    <mergeCell ref="C16:F16"/>
    <mergeCell ref="A17:B17"/>
    <mergeCell ref="E17:F17"/>
    <mergeCell ref="A19:F19"/>
    <mergeCell ref="A12:B12"/>
    <mergeCell ref="C12:F12"/>
    <mergeCell ref="A14:F14"/>
    <mergeCell ref="A15:B15"/>
    <mergeCell ref="E15:F15"/>
    <mergeCell ref="A9:B9"/>
    <mergeCell ref="E9:F9"/>
    <mergeCell ref="A10:B10"/>
    <mergeCell ref="C10:F10"/>
    <mergeCell ref="A11:B11"/>
    <mergeCell ref="C11:F11"/>
    <mergeCell ref="A6:B6"/>
    <mergeCell ref="E6:F6"/>
    <mergeCell ref="A7:B7"/>
    <mergeCell ref="E7:F7"/>
    <mergeCell ref="A8:B8"/>
    <mergeCell ref="E8:F8"/>
    <mergeCell ref="A1:B3"/>
    <mergeCell ref="C1:F1"/>
    <mergeCell ref="C2:F2"/>
    <mergeCell ref="C3:F3"/>
    <mergeCell ref="A5:F5"/>
  </mergeCells>
  <dataValidations count="2">
    <dataValidation type="list" allowBlank="1" sqref="C8" xr:uid="{00000000-0002-0000-1100-000000000000}">
      <formula1>"Payroll Calculation Sheet,Wages-based entry,Salary advance deduction,Other"</formula1>
      <formula2>0</formula2>
    </dataValidation>
    <dataValidation type="list" allowBlank="1" sqref="C15" xr:uid="{00000000-0002-0000-1100-000001000000}">
      <formula1>"Approved,Rejected"</formula1>
      <formula2>0</formula2>
    </dataValidation>
  </dataValidations>
  <pageMargins left="0.5" right="0.5" top="1" bottom="1" header="0.511811023622047" footer="0.5"/>
  <pageSetup paperSize="9" fitToHeight="0" orientation="portrait" horizontalDpi="300" verticalDpi="300"/>
  <headerFooter>
    <oddFooter>&amp;LPY-17 | Crest Point Consulting Group&amp;CPage &amp;P of &amp;N&amp;RStrictly 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F7F7F"/>
    <pageSetUpPr fitToPage="1"/>
  </sheetPr>
  <dimension ref="A1:G13"/>
  <sheetViews>
    <sheetView showGridLines="0" zoomScaleNormal="100" workbookViewId="0">
      <pane ySplit="5" topLeftCell="A6" activePane="bottomLeft" state="frozen"/>
      <selection pane="bottomLeft" sqref="A1:B3"/>
    </sheetView>
  </sheetViews>
  <sheetFormatPr defaultColWidth="8.68359375" defaultRowHeight="14.4" x14ac:dyDescent="0.55000000000000004"/>
  <cols>
    <col min="1" max="1" width="28" customWidth="1"/>
    <col min="2" max="2" width="30" customWidth="1"/>
    <col min="3" max="4" width="32" customWidth="1"/>
    <col min="5" max="6" width="30" customWidth="1"/>
    <col min="7" max="7" width="38" customWidth="1"/>
  </cols>
  <sheetData>
    <row r="1" spans="1:7" ht="21.75" customHeight="1" x14ac:dyDescent="0.55000000000000004">
      <c r="A1" s="6" t="s">
        <v>104</v>
      </c>
      <c r="B1" s="6"/>
      <c r="C1" s="5" t="s">
        <v>0</v>
      </c>
      <c r="D1" s="5"/>
      <c r="E1" s="5"/>
      <c r="F1" s="5"/>
      <c r="G1" s="5"/>
    </row>
    <row r="2" spans="1:7" ht="21.75" customHeight="1" x14ac:dyDescent="0.55000000000000004">
      <c r="A2" s="6"/>
      <c r="B2" s="6"/>
      <c r="C2" s="4" t="s">
        <v>560</v>
      </c>
      <c r="D2" s="4"/>
      <c r="E2" s="4"/>
      <c r="F2" s="4"/>
      <c r="G2" s="4"/>
    </row>
    <row r="3" spans="1:7" ht="21.75" customHeight="1" x14ac:dyDescent="0.55000000000000004">
      <c r="A3" s="6"/>
      <c r="B3" s="6"/>
      <c r="C3" s="3" t="s">
        <v>561</v>
      </c>
      <c r="D3" s="3"/>
      <c r="E3" s="3"/>
      <c r="F3" s="3"/>
      <c r="G3" s="3"/>
    </row>
    <row r="5" spans="1:7" ht="33.75" customHeight="1" x14ac:dyDescent="0.55000000000000004">
      <c r="A5" s="19" t="s">
        <v>562</v>
      </c>
      <c r="B5" s="19" t="s">
        <v>563</v>
      </c>
      <c r="C5" s="19" t="s">
        <v>564</v>
      </c>
      <c r="D5" s="19" t="s">
        <v>565</v>
      </c>
      <c r="E5" s="19" t="s">
        <v>566</v>
      </c>
      <c r="F5" s="19" t="s">
        <v>567</v>
      </c>
      <c r="G5" s="19" t="s">
        <v>568</v>
      </c>
    </row>
    <row r="6" spans="1:7" ht="30.75" customHeight="1" x14ac:dyDescent="0.55000000000000004">
      <c r="A6" s="15" t="s">
        <v>17</v>
      </c>
      <c r="B6" s="15" t="s">
        <v>569</v>
      </c>
      <c r="C6" s="15" t="s">
        <v>570</v>
      </c>
      <c r="D6" s="15" t="s">
        <v>571</v>
      </c>
      <c r="E6" s="15" t="s">
        <v>571</v>
      </c>
      <c r="F6" s="15" t="s">
        <v>572</v>
      </c>
      <c r="G6" s="15" t="s">
        <v>573</v>
      </c>
    </row>
    <row r="7" spans="1:7" ht="30.75" customHeight="1" x14ac:dyDescent="0.55000000000000004">
      <c r="A7" s="15" t="s">
        <v>574</v>
      </c>
      <c r="B7" s="15" t="s">
        <v>575</v>
      </c>
      <c r="C7" s="15" t="s">
        <v>576</v>
      </c>
      <c r="D7" s="15" t="s">
        <v>577</v>
      </c>
      <c r="E7" s="15" t="s">
        <v>571</v>
      </c>
      <c r="F7" s="15" t="s">
        <v>578</v>
      </c>
      <c r="G7" s="15" t="s">
        <v>579</v>
      </c>
    </row>
    <row r="8" spans="1:7" ht="43.5" customHeight="1" x14ac:dyDescent="0.55000000000000004">
      <c r="A8" s="15" t="s">
        <v>33</v>
      </c>
      <c r="B8" s="15" t="s">
        <v>580</v>
      </c>
      <c r="C8" s="15" t="s">
        <v>581</v>
      </c>
      <c r="D8" s="15" t="s">
        <v>571</v>
      </c>
      <c r="E8" s="15" t="s">
        <v>571</v>
      </c>
      <c r="F8" s="15" t="s">
        <v>582</v>
      </c>
      <c r="G8" s="15" t="s">
        <v>583</v>
      </c>
    </row>
    <row r="9" spans="1:7" ht="30.75" customHeight="1" x14ac:dyDescent="0.55000000000000004">
      <c r="A9" s="15" t="s">
        <v>584</v>
      </c>
      <c r="B9" s="15" t="s">
        <v>585</v>
      </c>
      <c r="C9" s="15" t="s">
        <v>586</v>
      </c>
      <c r="D9" s="15" t="s">
        <v>587</v>
      </c>
      <c r="E9" s="15" t="s">
        <v>588</v>
      </c>
      <c r="F9" s="15" t="s">
        <v>571</v>
      </c>
      <c r="G9" s="15" t="s">
        <v>589</v>
      </c>
    </row>
    <row r="10" spans="1:7" ht="30.75" customHeight="1" x14ac:dyDescent="0.55000000000000004">
      <c r="A10" s="15" t="s">
        <v>49</v>
      </c>
      <c r="B10" s="15" t="s">
        <v>590</v>
      </c>
      <c r="C10" s="15" t="s">
        <v>591</v>
      </c>
      <c r="D10" s="15" t="s">
        <v>592</v>
      </c>
      <c r="E10" s="15" t="s">
        <v>571</v>
      </c>
      <c r="F10" s="15" t="s">
        <v>593</v>
      </c>
      <c r="G10" s="15" t="s">
        <v>594</v>
      </c>
    </row>
    <row r="11" spans="1:7" ht="30.75" customHeight="1" x14ac:dyDescent="0.55000000000000004">
      <c r="A11" s="15" t="s">
        <v>53</v>
      </c>
      <c r="B11" s="15" t="s">
        <v>595</v>
      </c>
      <c r="C11" s="15" t="s">
        <v>571</v>
      </c>
      <c r="D11" s="15" t="s">
        <v>571</v>
      </c>
      <c r="E11" s="15" t="s">
        <v>596</v>
      </c>
      <c r="F11" s="15" t="s">
        <v>597</v>
      </c>
      <c r="G11" s="15" t="s">
        <v>598</v>
      </c>
    </row>
    <row r="12" spans="1:7" ht="30.75" customHeight="1" x14ac:dyDescent="0.55000000000000004">
      <c r="A12" s="15" t="s">
        <v>65</v>
      </c>
      <c r="B12" s="15" t="s">
        <v>599</v>
      </c>
      <c r="C12" s="15" t="s">
        <v>600</v>
      </c>
      <c r="D12" s="15" t="s">
        <v>571</v>
      </c>
      <c r="E12" s="15" t="s">
        <v>571</v>
      </c>
      <c r="F12" s="15" t="s">
        <v>571</v>
      </c>
      <c r="G12" s="15" t="s">
        <v>601</v>
      </c>
    </row>
    <row r="13" spans="1:7" ht="30.75" customHeight="1" x14ac:dyDescent="0.55000000000000004">
      <c r="A13" s="15" t="s">
        <v>81</v>
      </c>
      <c r="B13" s="15" t="s">
        <v>590</v>
      </c>
      <c r="C13" s="15" t="s">
        <v>602</v>
      </c>
      <c r="D13" s="15" t="s">
        <v>571</v>
      </c>
      <c r="E13" s="15" t="s">
        <v>571</v>
      </c>
      <c r="F13" s="15" t="s">
        <v>603</v>
      </c>
      <c r="G13" s="15" t="s">
        <v>604</v>
      </c>
    </row>
  </sheetData>
  <mergeCells count="4">
    <mergeCell ref="A1:B3"/>
    <mergeCell ref="C1:G1"/>
    <mergeCell ref="C2:G2"/>
    <mergeCell ref="C3:G3"/>
  </mergeCells>
  <pageMargins left="0.5" right="0.5" top="1" bottom="1" header="0.511811023622047" footer="0.5"/>
  <pageSetup paperSize="9" fitToHeight="0" orientation="landscape" horizontalDpi="300" verticalDpi="300"/>
  <headerFooter>
    <oddFooter>&amp;LPY-18 | Crest Point Consulting Group&amp;CPage &amp;P of &amp;N&amp;RStrictly Confidential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F7F7F"/>
    <pageSetUpPr fitToPage="1"/>
  </sheetPr>
  <dimension ref="A1:E14"/>
  <sheetViews>
    <sheetView showGridLines="0" zoomScaleNormal="100" workbookViewId="0">
      <selection sqref="A1:B3"/>
    </sheetView>
  </sheetViews>
  <sheetFormatPr defaultColWidth="8.68359375" defaultRowHeight="14.4" x14ac:dyDescent="0.55000000000000004"/>
  <cols>
    <col min="1" max="1" width="5" customWidth="1"/>
    <col min="2" max="2" width="52" customWidth="1"/>
    <col min="3" max="4" width="34" customWidth="1"/>
    <col min="5" max="5" width="52" customWidth="1"/>
  </cols>
  <sheetData>
    <row r="1" spans="1:5" ht="55.5" customHeight="1" x14ac:dyDescent="0.55000000000000004">
      <c r="A1" s="6" t="s">
        <v>104</v>
      </c>
      <c r="B1" s="6"/>
      <c r="C1" s="5" t="s">
        <v>0</v>
      </c>
      <c r="D1" s="5"/>
      <c r="E1" s="5"/>
    </row>
    <row r="2" spans="1:5" ht="21.75" customHeight="1" x14ac:dyDescent="0.55000000000000004">
      <c r="A2" s="6"/>
      <c r="B2" s="6"/>
      <c r="C2" s="4" t="s">
        <v>605</v>
      </c>
      <c r="D2" s="4"/>
      <c r="E2" s="4"/>
    </row>
    <row r="3" spans="1:5" ht="21.75" customHeight="1" x14ac:dyDescent="0.55000000000000004">
      <c r="A3" s="6"/>
      <c r="B3" s="6"/>
      <c r="C3" s="3" t="s">
        <v>606</v>
      </c>
      <c r="D3" s="3"/>
      <c r="E3" s="3"/>
    </row>
    <row r="5" spans="1:5" ht="30" customHeight="1" x14ac:dyDescent="0.55000000000000004">
      <c r="A5" s="19" t="s">
        <v>607</v>
      </c>
      <c r="B5" s="19" t="s">
        <v>608</v>
      </c>
      <c r="C5" s="19" t="s">
        <v>609</v>
      </c>
      <c r="D5" s="19" t="s">
        <v>610</v>
      </c>
      <c r="E5" s="19" t="s">
        <v>611</v>
      </c>
    </row>
    <row r="6" spans="1:5" ht="18" customHeight="1" x14ac:dyDescent="0.55000000000000004">
      <c r="A6" s="15">
        <v>1</v>
      </c>
      <c r="B6" s="15" t="s">
        <v>612</v>
      </c>
      <c r="C6" s="15" t="s">
        <v>613</v>
      </c>
      <c r="D6" s="15" t="s">
        <v>614</v>
      </c>
      <c r="E6" s="15" t="s">
        <v>615</v>
      </c>
    </row>
    <row r="7" spans="1:5" ht="18" customHeight="1" x14ac:dyDescent="0.55000000000000004">
      <c r="A7" s="15">
        <v>2</v>
      </c>
      <c r="B7" s="15" t="s">
        <v>616</v>
      </c>
      <c r="C7" s="15" t="s">
        <v>613</v>
      </c>
      <c r="D7" s="15" t="s">
        <v>617</v>
      </c>
      <c r="E7" s="15" t="s">
        <v>618</v>
      </c>
    </row>
    <row r="8" spans="1:5" ht="30.75" customHeight="1" x14ac:dyDescent="0.55000000000000004">
      <c r="A8" s="15">
        <v>3</v>
      </c>
      <c r="B8" s="15" t="s">
        <v>619</v>
      </c>
      <c r="C8" s="15" t="s">
        <v>614</v>
      </c>
      <c r="D8" s="15" t="s">
        <v>620</v>
      </c>
      <c r="E8" s="15" t="s">
        <v>621</v>
      </c>
    </row>
    <row r="9" spans="1:5" ht="18" customHeight="1" x14ac:dyDescent="0.55000000000000004">
      <c r="A9" s="15">
        <v>4</v>
      </c>
      <c r="B9" s="15" t="s">
        <v>622</v>
      </c>
      <c r="C9" s="15" t="s">
        <v>614</v>
      </c>
      <c r="D9" s="15" t="s">
        <v>623</v>
      </c>
      <c r="E9" s="15" t="s">
        <v>624</v>
      </c>
    </row>
    <row r="10" spans="1:5" ht="18" customHeight="1" x14ac:dyDescent="0.55000000000000004">
      <c r="A10" s="15">
        <v>5</v>
      </c>
      <c r="B10" s="15" t="s">
        <v>625</v>
      </c>
      <c r="C10" s="15" t="s">
        <v>626</v>
      </c>
      <c r="D10" s="15" t="s">
        <v>627</v>
      </c>
      <c r="E10" s="15" t="s">
        <v>628</v>
      </c>
    </row>
    <row r="12" spans="1:5" ht="18" customHeight="1" x14ac:dyDescent="0.55000000000000004">
      <c r="A12" s="9" t="s">
        <v>147</v>
      </c>
      <c r="B12" s="9"/>
      <c r="C12" s="9"/>
      <c r="D12" s="9"/>
      <c r="E12" s="9"/>
    </row>
    <row r="13" spans="1:5" ht="33.75" customHeight="1" x14ac:dyDescent="0.55000000000000004">
      <c r="A13" s="7" t="s">
        <v>629</v>
      </c>
      <c r="B13" s="7"/>
      <c r="C13" s="7"/>
      <c r="D13" s="7"/>
      <c r="E13" s="7"/>
    </row>
    <row r="14" spans="1:5" ht="33.75" customHeight="1" x14ac:dyDescent="0.55000000000000004">
      <c r="A14" s="7" t="s">
        <v>630</v>
      </c>
      <c r="B14" s="7"/>
      <c r="C14" s="7"/>
      <c r="D14" s="7"/>
      <c r="E14" s="7"/>
    </row>
  </sheetData>
  <mergeCells count="7">
    <mergeCell ref="A13:E13"/>
    <mergeCell ref="A14:E14"/>
    <mergeCell ref="A1:B3"/>
    <mergeCell ref="C1:E1"/>
    <mergeCell ref="C2:E2"/>
    <mergeCell ref="C3:E3"/>
    <mergeCell ref="A12:E12"/>
  </mergeCells>
  <pageMargins left="0.5" right="0.5" top="1" bottom="1" header="0.511811023622047" footer="0.5"/>
  <pageSetup paperSize="9" fitToHeight="0" orientation="landscape" horizontalDpi="300" verticalDpi="300"/>
  <headerFooter>
    <oddFooter>&amp;LPY-19 | Crest Point Consulting Group&amp;CPage &amp;P of &amp;N&amp;RStrictly Confidential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7F7F7F"/>
    <pageSetUpPr fitToPage="1"/>
  </sheetPr>
  <dimension ref="A1:E13"/>
  <sheetViews>
    <sheetView showGridLines="0" zoomScaleNormal="100" workbookViewId="0">
      <selection sqref="A1:B3"/>
    </sheetView>
  </sheetViews>
  <sheetFormatPr defaultColWidth="8.68359375" defaultRowHeight="14.4" x14ac:dyDescent="0.55000000000000004"/>
  <cols>
    <col min="1" max="1" width="5" customWidth="1"/>
    <col min="2" max="2" width="40" customWidth="1"/>
    <col min="3" max="3" width="20" customWidth="1"/>
    <col min="4" max="4" width="70" customWidth="1"/>
    <col min="5" max="5" width="14" customWidth="1"/>
  </cols>
  <sheetData>
    <row r="1" spans="1:5" ht="55.5" customHeight="1" x14ac:dyDescent="0.55000000000000004">
      <c r="A1" s="6" t="s">
        <v>104</v>
      </c>
      <c r="B1" s="6"/>
      <c r="C1" s="5" t="s">
        <v>0</v>
      </c>
      <c r="D1" s="5"/>
      <c r="E1" s="5"/>
    </row>
    <row r="2" spans="1:5" ht="21.75" customHeight="1" x14ac:dyDescent="0.55000000000000004">
      <c r="A2" s="6"/>
      <c r="B2" s="6"/>
      <c r="C2" s="4" t="s">
        <v>631</v>
      </c>
      <c r="D2" s="4"/>
      <c r="E2" s="4"/>
    </row>
    <row r="3" spans="1:5" ht="21.75" customHeight="1" x14ac:dyDescent="0.55000000000000004">
      <c r="A3" s="6"/>
      <c r="B3" s="6"/>
      <c r="C3" s="3" t="s">
        <v>632</v>
      </c>
      <c r="D3" s="3"/>
      <c r="E3" s="3"/>
    </row>
    <row r="5" spans="1:5" ht="30" customHeight="1" x14ac:dyDescent="0.55000000000000004">
      <c r="A5" s="19" t="s">
        <v>607</v>
      </c>
      <c r="B5" s="19" t="s">
        <v>633</v>
      </c>
      <c r="C5" s="19" t="s">
        <v>634</v>
      </c>
      <c r="D5" s="19" t="s">
        <v>635</v>
      </c>
      <c r="E5" s="19" t="s">
        <v>636</v>
      </c>
    </row>
    <row r="6" spans="1:5" ht="18" customHeight="1" x14ac:dyDescent="0.55000000000000004">
      <c r="A6" s="15">
        <v>1</v>
      </c>
      <c r="B6" s="15" t="s">
        <v>637</v>
      </c>
      <c r="C6" s="15" t="s">
        <v>638</v>
      </c>
      <c r="D6" s="15" t="s">
        <v>639</v>
      </c>
      <c r="E6" s="15" t="s">
        <v>640</v>
      </c>
    </row>
    <row r="7" spans="1:5" ht="18" customHeight="1" x14ac:dyDescent="0.55000000000000004">
      <c r="A7" s="15">
        <v>2</v>
      </c>
      <c r="B7" s="15" t="s">
        <v>641</v>
      </c>
      <c r="C7" s="15" t="s">
        <v>638</v>
      </c>
      <c r="D7" s="15" t="s">
        <v>642</v>
      </c>
      <c r="E7" s="15" t="s">
        <v>640</v>
      </c>
    </row>
    <row r="8" spans="1:5" ht="18" customHeight="1" x14ac:dyDescent="0.55000000000000004">
      <c r="A8" s="15">
        <v>3</v>
      </c>
      <c r="B8" s="15" t="s">
        <v>643</v>
      </c>
      <c r="C8" s="15" t="s">
        <v>638</v>
      </c>
      <c r="D8" s="15" t="s">
        <v>644</v>
      </c>
      <c r="E8" s="15" t="s">
        <v>640</v>
      </c>
    </row>
    <row r="9" spans="1:5" ht="18" customHeight="1" x14ac:dyDescent="0.55000000000000004">
      <c r="A9" s="15">
        <v>4</v>
      </c>
      <c r="B9" s="15" t="s">
        <v>645</v>
      </c>
      <c r="C9" s="15" t="s">
        <v>638</v>
      </c>
      <c r="D9" s="15" t="s">
        <v>646</v>
      </c>
      <c r="E9" s="15" t="s">
        <v>640</v>
      </c>
    </row>
    <row r="10" spans="1:5" ht="18" customHeight="1" x14ac:dyDescent="0.55000000000000004">
      <c r="A10" s="15">
        <v>5</v>
      </c>
      <c r="B10" s="15" t="s">
        <v>647</v>
      </c>
      <c r="C10" s="15" t="s">
        <v>638</v>
      </c>
      <c r="D10" s="15" t="s">
        <v>648</v>
      </c>
      <c r="E10" s="15" t="s">
        <v>640</v>
      </c>
    </row>
    <row r="11" spans="1:5" ht="18" customHeight="1" x14ac:dyDescent="0.55000000000000004">
      <c r="A11" s="15">
        <v>6</v>
      </c>
      <c r="B11" s="15" t="s">
        <v>649</v>
      </c>
      <c r="C11" s="15" t="s">
        <v>638</v>
      </c>
      <c r="D11" s="15" t="s">
        <v>650</v>
      </c>
      <c r="E11" s="15" t="s">
        <v>640</v>
      </c>
    </row>
    <row r="12" spans="1:5" ht="30.75" customHeight="1" x14ac:dyDescent="0.55000000000000004">
      <c r="A12" s="15">
        <v>7</v>
      </c>
      <c r="B12" s="15" t="s">
        <v>651</v>
      </c>
      <c r="C12" s="15" t="s">
        <v>638</v>
      </c>
      <c r="D12" s="15" t="s">
        <v>652</v>
      </c>
      <c r="E12" s="15" t="s">
        <v>640</v>
      </c>
    </row>
    <row r="13" spans="1:5" ht="18" customHeight="1" x14ac:dyDescent="0.55000000000000004">
      <c r="A13" s="15">
        <v>8</v>
      </c>
      <c r="B13" s="15" t="s">
        <v>653</v>
      </c>
      <c r="C13" s="15" t="s">
        <v>638</v>
      </c>
      <c r="D13" s="15" t="s">
        <v>654</v>
      </c>
      <c r="E13" s="15" t="s">
        <v>640</v>
      </c>
    </row>
  </sheetData>
  <mergeCells count="4">
    <mergeCell ref="A1:B3"/>
    <mergeCell ref="C1:E1"/>
    <mergeCell ref="C2:E2"/>
    <mergeCell ref="C3:E3"/>
  </mergeCells>
  <pageMargins left="0.5" right="0.5" top="1" bottom="1" header="0.511811023622047" footer="0.5"/>
  <pageSetup paperSize="9" fitToHeight="0" orientation="landscape" horizontalDpi="300" verticalDpi="300"/>
  <headerFooter>
    <oddFooter>&amp;LPY-20 | Crest Point Consulting Group&amp;CPage &amp;P of &amp;N&amp;RStrictly Confidential</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Index</vt:lpstr>
      <vt:lpstr>PY-01 Employee Record</vt:lpstr>
      <vt:lpstr>PY-02 Salary Change Pro-Rata</vt:lpstr>
      <vt:lpstr>PY-03 Leave Request</vt:lpstr>
      <vt:lpstr>PY-04 Leave Balance Summary</vt:lpstr>
      <vt:lpstr>PY-05 Timesheet</vt:lpstr>
      <vt:lpstr>PY-06 Dept Timesheet Finalize</vt:lpstr>
      <vt:lpstr>PY-07 Salary Advance Request</vt:lpstr>
      <vt:lpstr>PY-08 Employee Advance Ledger</vt:lpstr>
      <vt:lpstr>PY-09 Payroll Calculation</vt:lpstr>
      <vt:lpstr>PY-10 Wages-Based Entry</vt:lpstr>
      <vt:lpstr>PY-11 Payroll Summary</vt:lpstr>
      <vt:lpstr>PY-12 IC Payroll Verification</vt:lpstr>
      <vt:lpstr>PY-13 Payslip</vt:lpstr>
      <vt:lpstr>PY-14 Bank Transfer List</vt:lpstr>
      <vt:lpstr>PY-15 Tax Slab Config</vt:lpstr>
      <vt:lpstr>PY-16 Tax Withholding Register</vt:lpstr>
      <vt:lpstr>PY-17 Correction Request</vt:lpstr>
      <vt:lpstr>PY-18 Approval Matrix</vt:lpstr>
      <vt:lpstr>PY-19 Accounting Entries</vt:lpstr>
      <vt:lpstr>PY-20 Reports Spec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Fayaz Yasini;Crest_Point1</dc:creator>
  <dc:description/>
  <cp:lastModifiedBy>Fayaz Yasini</cp:lastModifiedBy>
  <cp:revision>0</cp:revision>
  <cp:lastPrinted>2026-10-16T12:36:55Z</cp:lastPrinted>
  <dcterms:created xsi:type="dcterms:W3CDTF">2026-10-14T04:50:14Z</dcterms:created>
  <dcterms:modified xsi:type="dcterms:W3CDTF">2026-10-16T12:37:39Z</dcterms:modified>
  <dc:language>en-US</dc:language>
</cp:coreProperties>
</file>