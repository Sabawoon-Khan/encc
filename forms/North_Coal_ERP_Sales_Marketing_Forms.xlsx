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yaz Yasini\Downloads\Forms\"/>
    </mc:Choice>
  </mc:AlternateContent>
  <xr:revisionPtr revIDLastSave="0" documentId="13_ncr:1_{5A6A9682-4C80-4663-ACE8-92C7D560AAFD}" xr6:coauthVersionLast="47" xr6:coauthVersionMax="47" xr10:uidLastSave="{00000000-0000-0000-0000-000000000000}"/>
  <bookViews>
    <workbookView xWindow="-96" yWindow="-96" windowWidth="23232" windowHeight="13872" xr2:uid="{00000000-000D-0000-FFFF-FFFF00000000}"/>
  </bookViews>
  <sheets>
    <sheet name="Index" sheetId="1" r:id="rId1"/>
    <sheet name="SM-01 Sales Order Entry" sheetId="2" r:id="rId2"/>
    <sheet name="SM-02 Tariff Slip" sheetId="3" r:id="rId3"/>
    <sheet name="SM-03 Payment Confirmation" sheetId="4" r:id="rId4"/>
    <sheet name="SM-04 IC Payment Verification" sheetId="5" r:id="rId5"/>
    <sheet name="SM-05 Coal Allocation Auth" sheetId="6" r:id="rId6"/>
    <sheet name="SM-06 Dispatch Tracking" sheetId="7" r:id="rId7"/>
    <sheet name="SM-07 Weighing Interface" sheetId="8" r:id="rId8"/>
    <sheet name="SM-08 Sub-Office Minor Sale" sheetId="9" r:id="rId9"/>
    <sheet name="SM-09 Customer Tracking View" sheetId="10" r:id="rId10"/>
    <sheet name="SM-10 Customer Master" sheetId="11" r:id="rId11"/>
    <sheet name="SM-11 Tariff Schedule" sheetId="12" r:id="rId12"/>
    <sheet name="SM-12 Status Lifecycle" sheetId="13" r:id="rId13"/>
    <sheet name="SM-13 Correction Request" sheetId="14" r:id="rId14"/>
    <sheet name="SM-14 Approval Matrix" sheetId="15" r:id="rId15"/>
    <sheet name="SM-15 Accounting Entries" sheetId="16" r:id="rId16"/>
    <sheet name="SM-16 Reports Spec"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2" l="1"/>
  <c r="H15" i="12"/>
  <c r="H14" i="12"/>
  <c r="H13" i="12"/>
  <c r="H12" i="12"/>
  <c r="H11" i="12"/>
  <c r="H10" i="12"/>
  <c r="H9" i="12"/>
  <c r="H8" i="12"/>
  <c r="H7" i="12"/>
  <c r="I18" i="10"/>
  <c r="H18" i="10"/>
  <c r="G18" i="10"/>
  <c r="F18" i="10"/>
  <c r="D18" i="10"/>
  <c r="I17" i="10"/>
  <c r="I16" i="10"/>
  <c r="I15" i="10"/>
  <c r="I14" i="10"/>
  <c r="I13" i="10"/>
  <c r="I12" i="10"/>
  <c r="I11" i="10"/>
  <c r="I10" i="10"/>
  <c r="I9" i="10"/>
  <c r="I8" i="10"/>
  <c r="F17" i="9"/>
  <c r="E17" i="9"/>
  <c r="A18" i="9" s="1"/>
  <c r="C10" i="9"/>
  <c r="E21" i="8"/>
  <c r="E19" i="8"/>
  <c r="F15" i="8"/>
  <c r="D27" i="7"/>
  <c r="D25" i="7"/>
  <c r="E15" i="6" s="1"/>
  <c r="D23" i="7"/>
  <c r="H21" i="7"/>
  <c r="F21" i="7"/>
  <c r="E21" i="7"/>
  <c r="H20" i="7"/>
  <c r="F20" i="7"/>
  <c r="E20" i="7"/>
  <c r="H19" i="7"/>
  <c r="F19" i="7"/>
  <c r="E19" i="7"/>
  <c r="H18" i="7"/>
  <c r="F18" i="7"/>
  <c r="E18" i="7"/>
  <c r="H17" i="7"/>
  <c r="F17" i="7"/>
  <c r="E17" i="7"/>
  <c r="H16" i="7"/>
  <c r="F16" i="7"/>
  <c r="E16" i="7"/>
  <c r="H15" i="7"/>
  <c r="F15" i="7"/>
  <c r="E15" i="7"/>
  <c r="H14" i="7"/>
  <c r="F14" i="7"/>
  <c r="E14" i="7"/>
  <c r="H13" i="7"/>
  <c r="F13" i="7"/>
  <c r="E13" i="7"/>
  <c r="H12" i="7"/>
  <c r="E12" i="7"/>
  <c r="F12" i="7" s="1"/>
  <c r="H11" i="7"/>
  <c r="E11" i="7"/>
  <c r="F11" i="7" s="1"/>
  <c r="H10" i="7"/>
  <c r="E10" i="7"/>
  <c r="F10" i="7" s="1"/>
  <c r="C14" i="6"/>
  <c r="E22" i="5"/>
  <c r="E21" i="5"/>
  <c r="E19" i="5"/>
  <c r="F15" i="5"/>
  <c r="F14" i="5"/>
  <c r="E20" i="5" s="1"/>
  <c r="C23" i="5" s="1"/>
  <c r="C10" i="4"/>
  <c r="E10" i="4" s="1"/>
  <c r="C11" i="4" s="1"/>
  <c r="C9" i="3"/>
  <c r="C18" i="2"/>
  <c r="C14" i="2"/>
  <c r="E20" i="8" l="1"/>
  <c r="C20" i="8"/>
  <c r="D26" i="7"/>
  <c r="C16" i="6" s="1"/>
  <c r="D24" i="7"/>
  <c r="C15" i="6" s="1"/>
  <c r="E14" i="6"/>
</calcChain>
</file>

<file path=xl/sharedStrings.xml><?xml version="1.0" encoding="utf-8"?>
<sst xmlns="http://schemas.openxmlformats.org/spreadsheetml/2006/main" count="813" uniqueCount="570">
  <si>
    <t>NORTH COAL STATE OWNED CORPORATION</t>
  </si>
  <si>
    <t>ERP FORMS &amp; STANDARD TEMPLATES - SALES AND MARKETING MODULE</t>
  </si>
  <si>
    <t>Developer pack accompanying the approved System Architecture &amp; BPR Report (20 September 2026)  |  Prepared by Crest Point Consulting Group  |  Version 1.0</t>
  </si>
  <si>
    <t>COLOUR LEGEND</t>
  </si>
  <si>
    <t>Yellow</t>
  </si>
  <si>
    <t>Field entered by a user (blue text = example data shown for illustration)</t>
  </si>
  <si>
    <t>Grey</t>
  </si>
  <si>
    <t>Auto-populated / auto-calculated by the system</t>
  </si>
  <si>
    <t>Light grey</t>
  </si>
  <si>
    <t>Not applicable on this form</t>
  </si>
  <si>
    <t>Navy</t>
  </si>
  <si>
    <t>Section / column headers and signature-block titles</t>
  </si>
  <si>
    <t>Form Code</t>
  </si>
  <si>
    <t>Sheet (click to open)</t>
  </si>
  <si>
    <t>Purpose</t>
  </si>
  <si>
    <t>Source in approved report</t>
  </si>
  <si>
    <t>SM-01</t>
  </si>
  <si>
    <t>SM-01 Sales Order Entry</t>
  </si>
  <si>
    <t>ED-approved sales order record with approval gate and Head confirmation</t>
  </si>
  <si>
    <t>4.4.2 Sales Order Process and ED Approval</t>
  </si>
  <si>
    <t>SM-02</t>
  </si>
  <si>
    <t>SM-02 Tariff Slip</t>
  </si>
  <si>
    <t>Printable payment instruction with auto-calculated amount</t>
  </si>
  <si>
    <t>4.4.2 Tariff Issuance</t>
  </si>
  <si>
    <t>SM-03</t>
  </si>
  <si>
    <t>SM-03 Payment Confirmation</t>
  </si>
  <si>
    <t>Finance deposit-to-tariff match and Customer Advance posting</t>
  </si>
  <si>
    <t>4.4.2 Customer Payment and Finance Confirmation</t>
  </si>
  <si>
    <t>SM-04</t>
  </si>
  <si>
    <t>SM-04 IC Payment Verification</t>
  </si>
  <si>
    <t>Mandatory three-way check (bank slip, tariff slip, ED-approved order)</t>
  </si>
  <si>
    <t>4.4.2 Internal Control Payment Verification</t>
  </si>
  <si>
    <t>SM-05</t>
  </si>
  <si>
    <t>SM-05 Coal Allocation Auth</t>
  </si>
  <si>
    <t>Authorization record with live tracking fields</t>
  </si>
  <si>
    <t>4.4.2 Coal Allocation Authorization</t>
  </si>
  <si>
    <t>SM-06</t>
  </si>
  <si>
    <t>SM-06 Dispatch Tracking</t>
  </si>
  <si>
    <t>Dispatch events, cumulative and remaining entitlement, status rules</t>
  </si>
  <si>
    <t>4.4.2 Dispatch Tracking</t>
  </si>
  <si>
    <t>SM-07</t>
  </si>
  <si>
    <t>SM-07 Weighing Interface</t>
  </si>
  <si>
    <t>Weighing-system record received by the ERP and the three automatic actions</t>
  </si>
  <si>
    <t>4.4.2 Weighing System Integration</t>
  </si>
  <si>
    <t>SM-08</t>
  </si>
  <si>
    <t>SM-08 Sub-Office Minor Sale</t>
  </si>
  <si>
    <t>Minor sales at Sub-Offices through RV / JV</t>
  </si>
  <si>
    <t>4.4.2 Sub-Office Coal Dispatch Process</t>
  </si>
  <si>
    <t>SM-09</t>
  </si>
  <si>
    <t>SM-09 Customer Tracking View</t>
  </si>
  <si>
    <t>Ordered vs paid vs authorized vs dispatched per customer</t>
  </si>
  <si>
    <t>4.4.2 Order and Dispatch Tracking; 4.4.1 pain point</t>
  </si>
  <si>
    <t>SM-10</t>
  </si>
  <si>
    <t>SM-10 Customer Master</t>
  </si>
  <si>
    <t>Supporting customer database layout</t>
  </si>
  <si>
    <t>Derived (customers selected from database)</t>
  </si>
  <si>
    <t>SM-11</t>
  </si>
  <si>
    <t>SM-11 Tariff Schedule</t>
  </si>
  <si>
    <t>Supporting unit-price master</t>
  </si>
  <si>
    <t>Derived (unit price from approved tariff schedule)</t>
  </si>
  <si>
    <t>SM-12</t>
  </si>
  <si>
    <t>SM-12 Status Lifecycle</t>
  </si>
  <si>
    <t>Sequence of statuses and gates from order to fulfilment</t>
  </si>
  <si>
    <t>4.4.2; 4.4.5 Workflows 1-4</t>
  </si>
  <si>
    <t>SM-13</t>
  </si>
  <si>
    <t>SM-13 Correction Request</t>
  </si>
  <si>
    <t>Standard officer correction request (Sales)</t>
  </si>
  <si>
    <t>4.4.2 Officer Correction Request Workflow</t>
  </si>
  <si>
    <t>SM-14</t>
  </si>
  <si>
    <t>SM-14 Approval Matrix</t>
  </si>
  <si>
    <t>Who prepares, approves and verifies each form</t>
  </si>
  <si>
    <t>4.4.3 System Roles and Access Permissions</t>
  </si>
  <si>
    <t>SM-15</t>
  </si>
  <si>
    <t>SM-15 Accounting Entries</t>
  </si>
  <si>
    <t>Automatic entries for deposits, dispatch and cost of coal sold</t>
  </si>
  <si>
    <t>4.4.4 Accounting Entries</t>
  </si>
  <si>
    <t>SM-16</t>
  </si>
  <si>
    <t>SM-16 Reports Spec</t>
  </si>
  <si>
    <t>Required sales reports, frequency and filters</t>
  </si>
  <si>
    <t>4.4.4 Required Reports</t>
  </si>
  <si>
    <t>DESIGN RULES THAT APPLY TO EVERY FORM</t>
  </si>
  <si>
    <t>1. Single currency: Afghan Afghani (AFN) only. Quantities in tonnes.</t>
  </si>
  <si>
    <t>2. The sales cycle starts OUTSIDE the ERP: the ED signs the hard-copy order first; the Sales Officer records it only afterwards, with the ED approval reference and date. No ED / Director signature block appears on any printed form.</t>
  </si>
  <si>
    <t>3. Internal Control verification is positioned strictly at the three-way payment verification (SM-04); IC is otherwise read-only. "Verified by" blocks appear where IC verification applies.</t>
  </si>
  <si>
    <t>4. Issuing a tariff slip is NOT revenue. Revenue is recognized only on physical delivery confirmed by the Ministry of Mines weighing software (mining sites) or via RV/JV vouchers (Sub-Offices). Advance payments are held as Customer Advance liabilities (IFRS 15).</t>
  </si>
  <si>
    <t>5. Officers can never edit or delete a submitted entry; corrections follow SM-13. Every action is written to the Control Log (layout FA-18 in the Finance workbook), which no user can alter.</t>
  </si>
  <si>
    <t>6. The coal allocation letter and the tariff slip are printed hard copies; the ERP stores and tracks them digitally.</t>
  </si>
  <si>
    <t>7. Names, numbers, prices and quantities in these sheets are illustrative examples only and are consistent with the Finance workbook examples (TS-000312, CAL-000412).</t>
  </si>
  <si>
    <t>[Corporation logo]</t>
  </si>
  <si>
    <t>SALES ORDER ENTRY (ED-APPROVED ORDER)</t>
  </si>
  <si>
    <t>Form SM-01  |  Version 1.0  |  Recorded only AFTER the signed hard-copy ED approval is in hand</t>
  </si>
  <si>
    <t>A. ORDER DETAILS (entered by Sales Officer)</t>
  </si>
  <si>
    <t>Order No. (sequential)</t>
  </si>
  <si>
    <t>SO-0187</t>
  </si>
  <si>
    <t>Date of Order Entry (system date)</t>
  </si>
  <si>
    <t>Customer Name</t>
  </si>
  <si>
    <t>Example Customer Ltd</t>
  </si>
  <si>
    <t>Coal Type and Grade</t>
  </si>
  <si>
    <t>Thermal coal - Grade A</t>
  </si>
  <si>
    <t>Quantity Ordered (tonnes)</t>
  </si>
  <si>
    <t>Second Unit for Collection</t>
  </si>
  <si>
    <t>Mining Site - Second Unit A</t>
  </si>
  <si>
    <t>ED Approval Reference
(hard-copy signed approval)</t>
  </si>
  <si>
    <t>ED-APR-2026-0612</t>
  </si>
  <si>
    <t>Date of ED Physical Approval</t>
  </si>
  <si>
    <t>Notes (optional)</t>
  </si>
  <si>
    <t>Customer collects in two or more visits. EXAMPLE DATA.</t>
  </si>
  <si>
    <t>Entered By (Sales Officer)</t>
  </si>
  <si>
    <t>SAL-OFF-01</t>
  </si>
  <si>
    <t>Order Status</t>
  </si>
  <si>
    <t>ED Approved Recorded</t>
  </si>
  <si>
    <t>B. ED APPROVAL GATE (system rule)</t>
  </si>
  <si>
    <t>Gate Result</t>
  </si>
  <si>
    <t>C. SALES DEPARTMENT HEAD CONFIRMATION</t>
  </si>
  <si>
    <t>Decision (entry vs hard copy)</t>
  </si>
  <si>
    <t>Confirmed</t>
  </si>
  <si>
    <t>Confirmation Date</t>
  </si>
  <si>
    <t>Result</t>
  </si>
  <si>
    <t>PREPARED BY
(Sales Officer)</t>
  </si>
  <si>
    <t>REVIEWED / CONFIRMED BY
(Sales Department Head)</t>
  </si>
  <si>
    <t>Name:</t>
  </si>
  <si>
    <t>Position:</t>
  </si>
  <si>
    <t>Signature:</t>
  </si>
  <si>
    <t>Date:</t>
  </si>
  <si>
    <t>NOTES FOR DEVELOPERS</t>
  </si>
  <si>
    <t>1. The sales cycle starts outside the ERP: customer submits a physical request -&gt; reviewed internally -&gt; ED signs the hard copy -&gt; staff file it -&gt; ONLY THEN the Sales Officer records the order.</t>
  </si>
  <si>
    <t>2. Mandatory fields: customer name, coal type and grade, quantity ordered, Second Unit for collection, ED approval reference and date of ED physical approval. Notes are optional.</t>
  </si>
  <si>
    <t>3. The Sales Officer cannot approve orders and cannot modify a submitted record (corrections via SM-13). The Head confirms the entry against the physical ED-approved document.</t>
  </si>
  <si>
    <t>4. The Executive Director has no system access. The sales order is approved physically on the hard copy and is NOT entered in the ERP until that signed approval is in hand; only its reference and date are recorded. No ED / Director signature block appears on these forms.</t>
  </si>
  <si>
    <t>TARIFF SLIP - PAYMENT INSTRUCTION</t>
  </si>
  <si>
    <t>Form SM-02  |  Version 1.0  |  Printed and issued to the customer; stored digitally against the sales order</t>
  </si>
  <si>
    <t>Tariff No. (sequential, not editable)</t>
  </si>
  <si>
    <t>TS-000312</t>
  </si>
  <si>
    <t>Date of Issue (system date)</t>
  </si>
  <si>
    <t>Sales Order Ref.</t>
  </si>
  <si>
    <t>Second Unit Location for Coal Receipt</t>
  </si>
  <si>
    <t>Quantity Approved (tonnes)</t>
  </si>
  <si>
    <t>Unit Price (AFN per tonne)
from approved tariff schedule</t>
  </si>
  <si>
    <t>Total Amount Payable (AFN)
Quantity x Unit Price</t>
  </si>
  <si>
    <t>Payment Bank Account
(pre-loaded)</t>
  </si>
  <si>
    <t>Example Bank - Revenue Collection Account</t>
  </si>
  <si>
    <t>Tariff Validity - From</t>
  </si>
  <si>
    <t>Tariff Validity - To (set by Sales Dept Head)</t>
  </si>
  <si>
    <t>ED Approval Reference</t>
  </si>
  <si>
    <t>Status</t>
  </si>
  <si>
    <t>Issued - awaiting payment</t>
  </si>
  <si>
    <t>Payment Instruction (printed text)</t>
  </si>
  <si>
    <t>Pay the total amount payable into the bank account shown above before the validity end date, then present your bank payment slip to the Finance department at HQ. Coal is released only after payment is confirmed and verified. ILLUSTRATIVE WORDING.</t>
  </si>
  <si>
    <t>ISSUED BY
(Sales Officer)</t>
  </si>
  <si>
    <t>REVIEWED BY
(Sales Department Head)</t>
  </si>
  <si>
    <t>1. All fields are system-sourced except Tariff Validity Period, which is defined by the Sales Department Head. Total Amount Payable is auto-calculated and not editable.</t>
  </si>
  <si>
    <t>2. IMPORTANT: issuing a tariff slip is NOT revenue - it is only a payment instruction. Revenue is recognized only at physical coal transfer confirmed by the weighing system (see SM-07 and FA-08).</t>
  </si>
  <si>
    <t>3. The printed slip is handed to the customer; a digital copy stays linked to the sales order. The payment-instruction wording above is illustrative and not specified in the approved report.</t>
  </si>
  <si>
    <t>PAYMENT CONFIRMATION RECORD (FINANCE)</t>
  </si>
  <si>
    <t>Form SM-03  |  Version 1.0  |  Confirmed by the Finance Officer through bank reconciliation (FA-06)</t>
  </si>
  <si>
    <t>A. TARIFF AND DEPOSIT MATCH</t>
  </si>
  <si>
    <t>Tariff Slip Ref.</t>
  </si>
  <si>
    <t>Bank Payment Slip No.
(presented by customer)</t>
  </si>
  <si>
    <t>BS-5521</t>
  </si>
  <si>
    <t>Deposit Date (bank statement)</t>
  </si>
  <si>
    <t>Bank Reconciliation Ref.</t>
  </si>
  <si>
    <t>BR-2026-10-REV</t>
  </si>
  <si>
    <t>Amount Deposited per Bank Statement (AFN)</t>
  </si>
  <si>
    <t>Amount Payable per Tariff Slip (AFN)</t>
  </si>
  <si>
    <t>Difference (AFN)</t>
  </si>
  <si>
    <t>Match Result</t>
  </si>
  <si>
    <t>Automatic Posting</t>
  </si>
  <si>
    <t>Sales Order Status Updated To</t>
  </si>
  <si>
    <t>Payment Confirmed</t>
  </si>
  <si>
    <t>Notification to Sales Department</t>
  </si>
  <si>
    <t>Sent in system</t>
  </si>
  <si>
    <t>CONFIRMED BY
(Finance Officer)</t>
  </si>
  <si>
    <t>REVIEWED BY
(Finance Department Head)</t>
  </si>
  <si>
    <t>1. The customer pays into the designated bank account, then presents the physical bank slip at HQ Finance. The Finance Officer matches the deposit to the customer and tariff slip reference in the bank reconciliation module.</t>
  </si>
  <si>
    <t>2. After this confirmation the order goes to Internal Control for the mandatory three-way payment verification (SM-04). No coal allocation can be generated before that verification is recorded.</t>
  </si>
  <si>
    <t>3. Name, position and date may be pre-filled by the system from the Control Log; signatures are by hand so the printed form can be archived in the hard file.</t>
  </si>
  <si>
    <t>INTERNAL CONTROL PAYMENT VERIFICATION - THREE-WAY CHECK</t>
  </si>
  <si>
    <t>Form SM-04  |  Version 1.0  |  The only mandatory IC gate in the Sales module</t>
  </si>
  <si>
    <t>Verification No.</t>
  </si>
  <si>
    <t>ICV-2026-000430</t>
  </si>
  <si>
    <t>Date Received by IC</t>
  </si>
  <si>
    <t>Re-verification Round</t>
  </si>
  <si>
    <t>1</t>
  </si>
  <si>
    <t>Unit Price per Tariff Slip (AFN/t)</t>
  </si>
  <si>
    <t>Customer Advance Posted in Finance (AFN)</t>
  </si>
  <si>
    <t>THREE-WAY COMPARISON</t>
  </si>
  <si>
    <t>No.</t>
  </si>
  <si>
    <t>Document</t>
  </si>
  <si>
    <t>Reference</t>
  </si>
  <si>
    <t>Quantity (t)</t>
  </si>
  <si>
    <t>Amount (AFN)</t>
  </si>
  <si>
    <t>Bank payment slip (presented by customer)</t>
  </si>
  <si>
    <t>Bank statement deposit (confirmed by Finance)</t>
  </si>
  <si>
    <t>Tariff slip (quantity x unit price)</t>
  </si>
  <si>
    <t>ED-approved hard-copy order</t>
  </si>
  <si>
    <t>VERIFICATION CHECKS (system-assisted)</t>
  </si>
  <si>
    <t>Check</t>
  </si>
  <si>
    <t>IC Comment</t>
  </si>
  <si>
    <t>Bank payment slip matches the deposit confirmed by Finance in the bank statement</t>
  </si>
  <si>
    <t>Payment amount matches the total on the tariff slip exactly</t>
  </si>
  <si>
    <t>Quantity on the ED-approved order is consistent with the tariff slip and the amount paid</t>
  </si>
  <si>
    <t>Customer Advance has been correctly posted in the Finance module</t>
  </si>
  <si>
    <t>Outcome (system rule)</t>
  </si>
  <si>
    <t>Final Outcome (IC decision)</t>
  </si>
  <si>
    <t>Verified</t>
  </si>
  <si>
    <t>Decision Date</t>
  </si>
  <si>
    <t>IC Comments
(mandatory if Rejected)</t>
  </si>
  <si>
    <t>If Rejected</t>
  </si>
  <si>
    <t>Notification to the Finance and Sales Department Heads to coordinate a formal correction between Finance and Sales; the order returns for re-verification. No coal allocation can be generated.</t>
  </si>
  <si>
    <t>If Verified</t>
  </si>
  <si>
    <t>Payment marked fully verified; order cleared for Coal Allocation Authorization (SM-05).</t>
  </si>
  <si>
    <t>PAYMENT CONFIRMED BY
(Finance Officer)</t>
  </si>
  <si>
    <t>VERIFIED BY
(Internal Control &amp; Audit)</t>
  </si>
  <si>
    <t>1. Three-way check = bank payment slip vs tariff slip vs ED-approved hard-copy order. IC has read-only access and can only Verify or Reject; every outcome goes to the Control Log (FA-18).</t>
  </si>
  <si>
    <t>2. The example shows a clean verification. Change any amount to see the checks turn to "No" and the outcome switch to REJECT.</t>
  </si>
  <si>
    <t>COAL ALLOCATION AUTHORIZATION</t>
  </si>
  <si>
    <t>Form SM-05  |  Version 1.0  |  Generated only after IC payment verification; printed on letterhead outside the ERP</t>
  </si>
  <si>
    <t>A. AUTHORIZATION DETAILS</t>
  </si>
  <si>
    <t>Authorization No. (sequential)</t>
  </si>
  <si>
    <t>CAL-000412</t>
  </si>
  <si>
    <t>Date of Authorization</t>
  </si>
  <si>
    <t>Total Quantity Authorized (tonnes)</t>
  </si>
  <si>
    <t>Unit Price (AFN)</t>
  </si>
  <si>
    <t>Total Amount Paid (AFN)
from confirmed payment</t>
  </si>
  <si>
    <t>IC Payment Verification Ref.
(prerequisite)</t>
  </si>
  <si>
    <t>Authorization Valid Until
(see note 3)</t>
  </si>
  <si>
    <t>Authorization Status (initial)</t>
  </si>
  <si>
    <t>Open</t>
  </si>
  <si>
    <t>B. LIVE TRACKING (updated in real time from the weighing system)</t>
  </si>
  <si>
    <t>Total Quantity Dispatched (tonnes)</t>
  </si>
  <si>
    <t>Remaining Quantity Entitlement (tonnes)</t>
  </si>
  <si>
    <t>Number of Collection Visits</t>
  </si>
  <si>
    <t>Authorization Status (current)</t>
  </si>
  <si>
    <t>GENERATED BY
(Sales Officer)</t>
  </si>
  <si>
    <t>PRINTED AND ISSUED BY
(Sales Department Head)</t>
  </si>
  <si>
    <t>PAYMENT VERIFIED BY
(Internal Control &amp; Audit)</t>
  </si>
  <si>
    <t>1. Fields per the approved design: authorization number, date, customer, total quantity authorized, unit price, total amount paid, Second Unit, tariff slip reference, ED approval reference, status. Tracking fields: authorized, dispatched, remaining, number of collection visits, status (Open / Partially Fulfilled / Fully Fulfilled / Expired).</t>
  </si>
  <si>
    <t>2. The official letter is printed on the corporation letterhead OUTSIDE the ERP and is the document the customer presents at the mining site; the ERP records the authorization digitally and tracks all dispatches against it.</t>
  </si>
  <si>
    <t>3. ADDITION TO CONFIRM: the approved field list has no expiry date, yet an "Expired" status and an Expired Authorization Report are required. "Valid Until" is added here (it could default from the tariff validity period) - confirm the rule.</t>
  </si>
  <si>
    <t>4. The "Payment verified by" block shows the IC verification this authorization depends on (SM-04). The Executive Director has no system access. The sales order is approved physically on the hard copy and is NOT entered in the ERP until that signed approval is in hand; only its reference and date are recorded. No ED / Director signature block appears on these forms.</t>
  </si>
  <si>
    <t>DISPATCH TRACKING AGAINST AUTHORIZATION</t>
  </si>
  <si>
    <t>Report layout - updated automatically from the weighing system (visibility and tracking only for Sales)</t>
  </si>
  <si>
    <t>Authorization No.</t>
  </si>
  <si>
    <t>Customer</t>
  </si>
  <si>
    <t>Unit Price (AFN per tonne)</t>
  </si>
  <si>
    <t>Authorization Valid Until</t>
  </si>
  <si>
    <t>Report As-of Date</t>
  </si>
  <si>
    <t>Dispatch Date and Time</t>
  </si>
  <si>
    <t>Second Unit</t>
  </si>
  <si>
    <t>Quantity Dispatched (t)</t>
  </si>
  <si>
    <t>Cumulative Dispatched (t)</t>
  </si>
  <si>
    <t>Remaining Entitlement (t)</t>
  </si>
  <si>
    <t>Weighing Record Ref.</t>
  </si>
  <si>
    <t>Revenue Recognized (AFN)</t>
  </si>
  <si>
    <t>WS-2026-045702</t>
  </si>
  <si>
    <t>WS-2026-045790</t>
  </si>
  <si>
    <t>WS-2026-045871</t>
  </si>
  <si>
    <t>SUMMARY (auto)</t>
  </si>
  <si>
    <t>Authorization Status</t>
  </si>
  <si>
    <t>Total Revenue Recognized (AFN)</t>
  </si>
  <si>
    <t>1. Status rules: Open (nothing dispatched) / Partially Fulfilled / Fully Fulfilled (dispatched = authorized) / Expired (past validity with quantity still unfulfilled). The weighing-system record is the sole trigger for both the tracking update and revenue recognition.</t>
  </si>
  <si>
    <t>2. Each visit creates one row; the system recalculates cumulative and remaining entitlement and recognizes revenue (Dr Customer Advance / Cr Revenue) for that dispatch only. Example matches FA-08 (30 t on 10-Oct-2026, 120 t already dispatched).</t>
  </si>
  <si>
    <t>WEIGHING SYSTEM DISPATCH INTERFACE RECORD (MINING SITES ONLY)</t>
  </si>
  <si>
    <t>Integration record  |  Ministry of Mines weighing scale software -&gt; North Coal ERP (real-time or end-of-day sync)</t>
  </si>
  <si>
    <t>A. DATA RECEIVED FROM THE WEIGHING SOFTWARE</t>
  </si>
  <si>
    <t>Weighing Record ID</t>
  </si>
  <si>
    <t>Second Unit (mining site)</t>
  </si>
  <si>
    <t>Authorization Reference</t>
  </si>
  <si>
    <t>Quantity Dispatched This Transaction (t)</t>
  </si>
  <si>
    <t>Cumulative Dispatched to Date (t) - as reported</t>
  </si>
  <si>
    <t>Remaining Entitlement Balance (t) - as reported</t>
  </si>
  <si>
    <t>Date and Time of Dispatch</t>
  </si>
  <si>
    <t>Sync Mode</t>
  </si>
  <si>
    <t>End-of-day synchronization</t>
  </si>
  <si>
    <t>Received in ERP On</t>
  </si>
  <si>
    <t>B. AUTOMATIC ERP ACTIONS (all three occur simultaneously)</t>
  </si>
  <si>
    <t>Approved Unit Price (AFN/t)</t>
  </si>
  <si>
    <t>Total Authorized (t) per Authorization</t>
  </si>
  <si>
    <t>1. Sales module</t>
  </si>
  <si>
    <t>Authorization record updated: cumulative dispatched up, remaining entitlement down, status updated (Open / Partially / Fully Fulfilled)</t>
  </si>
  <si>
    <t>2. Finance - revenue</t>
  </si>
  <si>
    <t>Dr Customer Advance / Cr Revenue Account</t>
  </si>
  <si>
    <t>3. Inventory</t>
  </si>
  <si>
    <t>Coal stock at the mining site reduced by the quantity dispatched; Dr Cost of Coal Sold / Cr Coal Inventory posted simultaneously (amount per inventory valuation - see note 3)</t>
  </si>
  <si>
    <t>C. RECOMMENDED INTEGRITY CHECKS (not in the approved report)</t>
  </si>
  <si>
    <t>ERP Cumulative Before This Record (t)</t>
  </si>
  <si>
    <t>ERP Cumulative After (t)</t>
  </si>
  <si>
    <t>Cumulative Agrees with Weighing Software?</t>
  </si>
  <si>
    <t>Remaining Agrees (Authorized - Cumulative)?</t>
  </si>
  <si>
    <t>Duplicate Weighing Record ID?</t>
  </si>
  <si>
    <t>No</t>
  </si>
  <si>
    <t>Dispatch Exceeds Remaining Entitlement?</t>
  </si>
  <si>
    <t>1. Sub-offices have no weighing software; minor sales there go through RV/JV vouchers (SM-08). Manual sub-office entries follow the same IC verification process as weighing entries.</t>
  </si>
  <si>
    <t>2. Section C is my suggestion to protect against missed, duplicated or over-limit syncs from remote sites; the approved report does not say what the ERP must do if a dispatch exceeds the remaining entitlement or a batch is received twice.</t>
  </si>
  <si>
    <t>3. The Cost of Coal Sold amount depends on a coal inventory valuation method that the approved report does not define. Confirm the costing basis (e.g. weighted average) before development.</t>
  </si>
  <si>
    <t>4. The weighing-system dispatch record is the sole trigger for revenue recognition (IFRS 15 - delivery is the performance obligation). Integration feasibility with the Ministry of Mines software (API / file export) must be confirmed.</t>
  </si>
  <si>
    <t>SUB-OFFICE MINOR COAL SALE / DISTRIBUTION (VIA FINANCE VOUCHER)</t>
  </si>
  <si>
    <t>Uses the standard Finance voucher (FA-02 RV or FA-03 JV) - no weighing-system integration at Sub-Offices</t>
  </si>
  <si>
    <t>A. VOUCHER DETAILS</t>
  </si>
  <si>
    <t>Voucher No.</t>
  </si>
  <si>
    <t>RV-000352</t>
  </si>
  <si>
    <t>Voucher Type</t>
  </si>
  <si>
    <t>Receipt Voucher (RV)</t>
  </si>
  <si>
    <t>Sub-Office (Second Unit)</t>
  </si>
  <si>
    <t>Sub-Office C</t>
  </si>
  <si>
    <t>Voucher Date</t>
  </si>
  <si>
    <t>Customer / Employee
(selected from database)</t>
  </si>
  <si>
    <t>Example Customer 3</t>
  </si>
  <si>
    <t>Receipt Method</t>
  </si>
  <si>
    <t>Cash</t>
  </si>
  <si>
    <t>Quantity (tonnes)
(see note 2)</t>
  </si>
  <si>
    <t>Unit Price (AFN/t)</t>
  </si>
  <si>
    <t>Expected Amount (AFN)</t>
  </si>
  <si>
    <t>IC Verification</t>
  </si>
  <si>
    <t>Pending</t>
  </si>
  <si>
    <t>Account Code</t>
  </si>
  <si>
    <t>Account Name</t>
  </si>
  <si>
    <t>Description</t>
  </si>
  <si>
    <t>Debit (AFN)</t>
  </si>
  <si>
    <t>Credit (AFN)</t>
  </si>
  <si>
    <t>Cash Box</t>
  </si>
  <si>
    <t>Cash received - minor sale</t>
  </si>
  <si>
    <t>Coal Sales Revenue</t>
  </si>
  <si>
    <t>Minor coal sale - 3 t, Sub-Office C</t>
  </si>
  <si>
    <t>TOTAL</t>
  </si>
  <si>
    <t>PREPARED BY
(Finance Officer / designated staff)</t>
  </si>
  <si>
    <t>1. Workflow: Finance Officer (or designated staff) initiates an RV or JV, selects the customer/employee, assigns the accounting classes, inputs amount/quantity and description; the voucher is approved per standard Finance workflow and the system auto-posts from the account selections.</t>
  </si>
  <si>
    <t>2. GAP: the approved Finance voucher has no "Quantity" field, yet this workflow says the officer inputs quantity. Quantity is shown here as a supporting field - confirm whether to add it to FA-02/FA-03.</t>
  </si>
  <si>
    <t>3. GAP: no stock-reduction or Cost of Coal Sold entry is defined for Sub-Office sales (only mining sites reduce inventory and post cost on dispatch). Confirm how coal handed out at Sub-Offices leaves inventory.</t>
  </si>
  <si>
    <t>4. The Sales specification subjects these manual entries to the same IC verification as weighing-system entries, but the Finance voucher spec activates IC verification only for final payments and payroll (FA-02 shows N/A). Align the two before development.</t>
  </si>
  <si>
    <t>CUSTOMER ORDER, PAYMENT AND DISPATCH TRACKING</t>
  </si>
  <si>
    <t>Report layout answering the "no customer tracking" pain point - ordered vs paid vs authorized vs dispatched</t>
  </si>
  <si>
    <t>Date Range</t>
  </si>
  <si>
    <t>01-Oct-2026 to 31-Oct-2026</t>
  </si>
  <si>
    <t>Generated On / By</t>
  </si>
  <si>
    <t>14-Oct-2026 10:15 / SAL-HEAD-01</t>
  </si>
  <si>
    <t>Order No.</t>
  </si>
  <si>
    <t>Tariff Ref.</t>
  </si>
  <si>
    <t>Qty Ordered (t)</t>
  </si>
  <si>
    <t>Amount Paid (AFN)</t>
  </si>
  <si>
    <t>Qty Authorized (t)</t>
  </si>
  <si>
    <t>Qty Dispatched (t)</t>
  </si>
  <si>
    <t>Visits</t>
  </si>
  <si>
    <t>Partially Fulfilled</t>
  </si>
  <si>
    <t>Example Customer 2</t>
  </si>
  <si>
    <t>SO-0191</t>
  </si>
  <si>
    <t>TS-000318</t>
  </si>
  <si>
    <t>Example Customer 4</t>
  </si>
  <si>
    <t>SO-0195</t>
  </si>
  <si>
    <t>TS-000325</t>
  </si>
  <si>
    <t>Awaiting payment</t>
  </si>
  <si>
    <t>1. Real-time tracking shows at any point how much coal has been ordered, paid for, authorized for collection and actually dispatched per Second Unit. Reports filter by customer, Second Unit (mining site or Sub-Office), date range and authorization status.</t>
  </si>
  <si>
    <t>2. Amount Paid is expected to equal Qty Ordered x Unit Price before an authorization exists (SM-04 check). Figures are illustrative and consistent with the Finance examples (TS-000312 / TS-000318).</t>
  </si>
  <si>
    <t>CUSTOMER MASTER TEMPLATE</t>
  </si>
  <si>
    <t>Supporting template - customers are selected from a database on orders, vouchers and reports</t>
  </si>
  <si>
    <t>Supporting template derived from the design (customers are "selected from database" with a quick-add on vouchers). The approved report does not list customer fields - this minimal layout is proposed.</t>
  </si>
  <si>
    <t>Customer ID</t>
  </si>
  <si>
    <t>Contact Person</t>
  </si>
  <si>
    <t>Phone</t>
  </si>
  <si>
    <t>Address</t>
  </si>
  <si>
    <t>Created By</t>
  </si>
  <si>
    <t>CUS-0001</t>
  </si>
  <si>
    <t>Example Contact 1</t>
  </si>
  <si>
    <t>+93 700 000 001</t>
  </si>
  <si>
    <t>Example address, Kabul</t>
  </si>
  <si>
    <t>Active</t>
  </si>
  <si>
    <t>CUS-0002</t>
  </si>
  <si>
    <t>Example Contact 2</t>
  </si>
  <si>
    <t>+93 700 000 002</t>
  </si>
  <si>
    <t>Example address, Mazar-i-Sharif</t>
  </si>
  <si>
    <t>CUS-0003</t>
  </si>
  <si>
    <t>Example Contact 3</t>
  </si>
  <si>
    <t>+93 700 000 003</t>
  </si>
  <si>
    <t>Example address, Herat</t>
  </si>
  <si>
    <t>FIN-OFF-02</t>
  </si>
  <si>
    <t>APPROVED TARIFF SCHEDULE (UNIT PRICE MASTER)</t>
  </si>
  <si>
    <t>Supporting template - source of the Unit Price on every tariff slip</t>
  </si>
  <si>
    <t>Supporting template derived from the design: the tariff slip takes its unit price "from approved tariff schedule", but the report does not say who maintains the schedule or how price changes are approved - confirm. Prices below are illustrative only.</t>
  </si>
  <si>
    <t>Coal Type</t>
  </si>
  <si>
    <t>Grade</t>
  </si>
  <si>
    <t>Effective From</t>
  </si>
  <si>
    <t>Effective To</t>
  </si>
  <si>
    <t>Approval Reference (hard copy)</t>
  </si>
  <si>
    <t>Rule Check (system)</t>
  </si>
  <si>
    <t>Thermal coal</t>
  </si>
  <si>
    <t>Grade A</t>
  </si>
  <si>
    <t>TARIFF-APR-2026-01</t>
  </si>
  <si>
    <t>Grade B</t>
  </si>
  <si>
    <t>Lump coal</t>
  </si>
  <si>
    <t>Inactive</t>
  </si>
  <si>
    <t>SALES CYCLE - STATUS LIFECYCLE AND GATES</t>
  </si>
  <si>
    <t>One-page view of the mandatory sequence: no coal can be released without the complete chain recorded in the system</t>
  </si>
  <si>
    <t>#</t>
  </si>
  <si>
    <t>Stage / Status</t>
  </si>
  <si>
    <t>Set By</t>
  </si>
  <si>
    <t>Trigger</t>
  </si>
  <si>
    <t>Gate to Next Stage</t>
  </si>
  <si>
    <t>Customer physical request + ED signature (outside ERP)</t>
  </si>
  <si>
    <t>Staff (physical)</t>
  </si>
  <si>
    <t>Customer submits a sales order request; ED signs the hard copy</t>
  </si>
  <si>
    <t>Hard copy filed; only then may the order be entered</t>
  </si>
  <si>
    <t>Order recorded</t>
  </si>
  <si>
    <t>Sales Officer</t>
  </si>
  <si>
    <t>ED approval reference and date entered</t>
  </si>
  <si>
    <t>Sales Department Head confirms entry against hard copy</t>
  </si>
  <si>
    <t>Sales Department Head</t>
  </si>
  <si>
    <t>Confirmation of the order</t>
  </si>
  <si>
    <t>Sales Officer may generate the Tariff Slip</t>
  </si>
  <si>
    <t>Tariff issued (name derived)</t>
  </si>
  <si>
    <t>Tariff slip generated, printed and issued</t>
  </si>
  <si>
    <t>Customer pays into the designated bank account</t>
  </si>
  <si>
    <t>Finance Officer (bank reconciliation)</t>
  </si>
  <si>
    <t>Deposit matched to customer and tariff reference; Dr Bank / Cr Customer Advance</t>
  </si>
  <si>
    <t>Routed to Internal Control automatically</t>
  </si>
  <si>
    <t>Payment verified by IC (name derived)</t>
  </si>
  <si>
    <t>Internal Control</t>
  </si>
  <si>
    <t>Three-way check: bank slip, tariff slip, ED-approved order</t>
  </si>
  <si>
    <t>Verified -&gt; order cleared for allocation. Rejected -&gt; Finance and Sales Heads coordinate a correction and IC re-verifies</t>
  </si>
  <si>
    <t>Authorization - Open</t>
  </si>
  <si>
    <t>Coal Allocation Authorization generated</t>
  </si>
  <si>
    <t>Sales Head prints and issues the letter; customer collects at the Second Unit</t>
  </si>
  <si>
    <t>System (weighing data)</t>
  </si>
  <si>
    <t>Some quantity dispatched, entitlement remains</t>
  </si>
  <si>
    <t>Further dispatches continue</t>
  </si>
  <si>
    <t>Fully Fulfilled</t>
  </si>
  <si>
    <t>Cumulative dispatched = quantity authorized</t>
  </si>
  <si>
    <t>End of cycle</t>
  </si>
  <si>
    <t>Expired</t>
  </si>
  <si>
    <t>System</t>
  </si>
  <si>
    <t>Validity passed with quantity still undelivered (see note on SM-05)</t>
  </si>
  <si>
    <t>Appears on the Expired Authorization Report</t>
  </si>
  <si>
    <t>1. Status names in the approved report: ED Approved Recorded, Payment Confirmed, Open, Partially Fulfilled, Fully Fulfilled, Expired. "Tariff issued" and "Payment verified by IC" are descriptive labels added here - confirm the exact status names with the report owner.</t>
  </si>
  <si>
    <t>OFFICER CORRECTION REQUEST - SALES</t>
  </si>
  <si>
    <t>Form SM-13  |  Version 1.0  |  Same standard form as FA-11, module set to Sales and Marketing</t>
  </si>
  <si>
    <t>A. REQUEST (raised by Sales Officer)</t>
  </si>
  <si>
    <t>Request No.</t>
  </si>
  <si>
    <t>CR-2026-000062</t>
  </si>
  <si>
    <t>Date Raised</t>
  </si>
  <si>
    <t>Module</t>
  </si>
  <si>
    <t>Sales and Marketing</t>
  </si>
  <si>
    <t>Second Unit / HQ</t>
  </si>
  <si>
    <t>HQ</t>
  </si>
  <si>
    <t>Entry Type</t>
  </si>
  <si>
    <t>Sales Order</t>
  </si>
  <si>
    <t>Entry Reference</t>
  </si>
  <si>
    <t>SO-0186</t>
  </si>
  <si>
    <t>Raised By (Officer)</t>
  </si>
  <si>
    <t>Entry Status at Request</t>
  </si>
  <si>
    <t>Submitted - before IC verification or finalization</t>
  </si>
  <si>
    <t>Description of Error</t>
  </si>
  <si>
    <t>Quantity entered as 550 tonnes; the signed ED approval states 500 tonnes. EXAMPLE DATA.</t>
  </si>
  <si>
    <t>Required Correction</t>
  </si>
  <si>
    <t>Change Quantity Ordered from 550 to 500.</t>
  </si>
  <si>
    <t>Justification</t>
  </si>
  <si>
    <t>Hard-copy ED approval ED-APR-2026-0600 shows 500 tonnes.</t>
  </si>
  <si>
    <t>B. SALES DEPARTMENT HEAD DECISION (notified automatically on submission)</t>
  </si>
  <si>
    <t>Decision</t>
  </si>
  <si>
    <t>Approved</t>
  </si>
  <si>
    <t>Decision Date / Time</t>
  </si>
  <si>
    <t>Reason (recorded if Rejected)</t>
  </si>
  <si>
    <t>Entry Unlocked</t>
  </si>
  <si>
    <t>Yes - Officer notified automatically</t>
  </si>
  <si>
    <t>Corrected Entry Ref.</t>
  </si>
  <si>
    <t>SO-0186 (rev. 2)</t>
  </si>
  <si>
    <t>C. CONTROL LOG - PERMANENTLY RECORDED AND VISIBLE TO INTERNAL CONTROL</t>
  </si>
  <si>
    <t>Original entry</t>
  </si>
  <si>
    <t>Recorded</t>
  </si>
  <si>
    <t>Correction request</t>
  </si>
  <si>
    <t>Department Head decision</t>
  </si>
  <si>
    <t>Corrected entry</t>
  </si>
  <si>
    <t>REQUESTED BY
(Sales Officer)</t>
  </si>
  <si>
    <t>DECIDED BY
(Sales Department Head)</t>
  </si>
  <si>
    <t>1. Applies to entries already submitted (before IC verification or finalization). The Officer can never modify or delete a submitted entry directly.</t>
  </si>
  <si>
    <t>2. An IC rejection of a payment verification uses the Finance/Sales correction loop in SM-04, not this form. Every step is written to the Control Log (layout FA-18).</t>
  </si>
  <si>
    <t>SALES AND MARKETING APPROVAL AND VERIFICATION MATRIX</t>
  </si>
  <si>
    <t>Who prepares, approves and verifies each form; the Executive Director has no system role</t>
  </si>
  <si>
    <t>Form</t>
  </si>
  <si>
    <t>Initiated / Prepared By</t>
  </si>
  <si>
    <t>Department Head Action</t>
  </si>
  <si>
    <t>ED (physical, outside system)</t>
  </si>
  <si>
    <t>Finance Role</t>
  </si>
  <si>
    <t>Internal Control (read-only)</t>
  </si>
  <si>
    <t>Automatic System Action</t>
  </si>
  <si>
    <t>SM-01 Sales Order</t>
  </si>
  <si>
    <t>Sales Officer (after ED approval is in hand)</t>
  </si>
  <si>
    <t>Sales Dept Head reviews and confirms against hard copy</t>
  </si>
  <si>
    <t>Signs the order hard copy BEFORE entry; reference recorded by Officer</t>
  </si>
  <si>
    <t>None</t>
  </si>
  <si>
    <t>Sequential order number; status ED Approved Recorded</t>
  </si>
  <si>
    <t>Sets tariff validity period</t>
  </si>
  <si>
    <t>Pulls order data and unit price; calculates total payable; prints slip</t>
  </si>
  <si>
    <t>Finance Dept Head approves reconciliation (FA-06)</t>
  </si>
  <si>
    <t>Confirms deposit match</t>
  </si>
  <si>
    <t>Next step: three-way verification</t>
  </si>
  <si>
    <t>Dr Bank / Cr Customer Advance; status Payment Confirmed; notifies Sales</t>
  </si>
  <si>
    <t>n/a</t>
  </si>
  <si>
    <t>Finance and Sales Heads notified on rejection</t>
  </si>
  <si>
    <t>Corrects mismatch if rejected</t>
  </si>
  <si>
    <t>Mandatory: Verify or Reject</t>
  </si>
  <si>
    <t>Clears order for allocation if Verified</t>
  </si>
  <si>
    <t>SM-05 Allocation Authorization</t>
  </si>
  <si>
    <t>Sales Officer (only after IC-verified payment)</t>
  </si>
  <si>
    <t>Sales Dept Head prints and issues the letter</t>
  </si>
  <si>
    <t>Read-only</t>
  </si>
  <si>
    <t>Sequential authorization number; tracking fields initialised</t>
  </si>
  <si>
    <t>SM-06 / SM-07 Dispatch</t>
  </si>
  <si>
    <t>Responsible User at the Second Unit (weighing software)</t>
  </si>
  <si>
    <t>None (visibility only)</t>
  </si>
  <si>
    <t>Updates tracking; Dr Customer Advance / Cr Revenue; Dr Cost of Coal Sold / Cr Coal Inventory; reduces site stock</t>
  </si>
  <si>
    <t>Finance Officer or designated staff (RV / JV)</t>
  </si>
  <si>
    <t>Per standard Finance workflow</t>
  </si>
  <si>
    <t>Initiates voucher</t>
  </si>
  <si>
    <t>Same IC verification as weighing entries (see note on SM-08)</t>
  </si>
  <si>
    <t>Auto-posts from voucher account selections</t>
  </si>
  <si>
    <t>Approves / rejects; unlocks if approved</t>
  </si>
  <si>
    <t>Sees full trail in Control Log</t>
  </si>
  <si>
    <t>Notifies Officer on unlock; logs every step</t>
  </si>
  <si>
    <t>ACCOUNTING ENTRIES - DEVELOPER REFERENCE (SALES AND MARKETING)</t>
  </si>
  <si>
    <t>Posted automatically in the background</t>
  </si>
  <si>
    <t>Trigger Event</t>
  </si>
  <si>
    <t>Debit</t>
  </si>
  <si>
    <t>Credit</t>
  </si>
  <si>
    <t>Posting Basis / Related Form</t>
  </si>
  <si>
    <t>Bank deposit matched to customer tariff - Finance reconciliation</t>
  </si>
  <si>
    <t>Bank Account</t>
  </si>
  <si>
    <t>Customer Advance (Current Liability)</t>
  </si>
  <si>
    <t>On the Finance Officer's confirmed match (SM-03, FA-06)</t>
  </si>
  <si>
    <t>Coal dispatched - weighing system confirmation (mining sites)</t>
  </si>
  <si>
    <t>Revenue Account</t>
  </si>
  <si>
    <t>Automatic on weighing record received; amount = quantity x unit price (SM-07, FA-08)</t>
  </si>
  <si>
    <t>Inventory reduced upon dispatch (posted simultaneously with revenue)</t>
  </si>
  <si>
    <t>Cost of Coal Sold Account</t>
  </si>
  <si>
    <t>Coal Inventory Account</t>
  </si>
  <si>
    <t>Automatic with revenue (SM-07)</t>
  </si>
  <si>
    <t>Minor sales or distributions at Sub-Offices</t>
  </si>
  <si>
    <t>Handled via standard Finance voucher selections (RV / JV)</t>
  </si>
  <si>
    <t>Finance Officer or designated staff (SM-08)</t>
  </si>
  <si>
    <t>1. Issuing a tariff slip creates NO accounting entry; revenue is recognized only on physical delivery (IFRS 15). Cash received in advance is held as Customer Advance until delivered.</t>
  </si>
  <si>
    <t>2. The amount of Cost of Coal Sold needs a defined inventory costing basis, which the approved report does not provide (confirm before development).</t>
  </si>
  <si>
    <t>REQUIRED REPORTS - SALES AND MARKETING</t>
  </si>
  <si>
    <t>All reports use the standard header/footer shown in FA-16</t>
  </si>
  <si>
    <t>Report</t>
  </si>
  <si>
    <t>Frequency</t>
  </si>
  <si>
    <t>Filter Options</t>
  </si>
  <si>
    <t>Export</t>
  </si>
  <si>
    <t>Sales Order Register</t>
  </si>
  <si>
    <t>On demand</t>
  </si>
  <si>
    <t>Custom date range, per customer, per status</t>
  </si>
  <si>
    <t>PDF + Excel</t>
  </si>
  <si>
    <t>Tariff Slip Register</t>
  </si>
  <si>
    <t>Custom date range, sequential, per customer</t>
  </si>
  <si>
    <t>Payment Confirmation Report</t>
  </si>
  <si>
    <t>Custom date range, per customer, per tariff reference</t>
  </si>
  <si>
    <t>Coal Allocation Authorization Register</t>
  </si>
  <si>
    <t>On demand / Real-time</t>
  </si>
  <si>
    <t>Custom date range, per customer, per Second Unit, per status</t>
  </si>
  <si>
    <t>Dispatch Tracking Report - Per Customer</t>
  </si>
  <si>
    <t>Custom date range; total authorized, total dispatched, remaining entitlement, visit count</t>
  </si>
  <si>
    <t>Dispatch Tracking Report - Per Second Unit</t>
  </si>
  <si>
    <t>Custom date range, per mining site or Sub-Office; total dispatched / sold</t>
  </si>
  <si>
    <t>Revenue Recognition Summary</t>
  </si>
  <si>
    <t>Custom date range, per Second Unit, per customer - linked to dispatch events / vouchers</t>
  </si>
  <si>
    <t>Outstanding Entitlement Report</t>
  </si>
  <si>
    <t>Custom date range; all active authorizations with remaining quantities</t>
  </si>
  <si>
    <t>Expired Authorization Report</t>
  </si>
  <si>
    <t>Custom date range; authorizations past validity with unfulfilled quantities</t>
  </si>
  <si>
    <t>Internal Control Verification</t>
  </si>
  <si>
    <t>Custom date range, by verification outcome (Verified / Rejected)</t>
  </si>
  <si>
    <t>Control Log / Audit Trail Report</t>
  </si>
  <si>
    <t>Custom date range, by user, action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</si>
</sst>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dd\-mmm\-yyyy"/>
    <numFmt numFmtId="166" formatCode="#,##0.000;\(#,##0.000\);&quot;-&quot;"/>
    <numFmt numFmtId="167" formatCode="#,##0.00;\(#,##0.00\);&quot;-&quot;"/>
    <numFmt numFmtId="169" formatCode="dd\-mmm\-yyyy\ hh:mm"/>
  </numFmts>
  <fonts count="14" x14ac:knownFonts="1">
    <font>
      <sz val="11"/>
      <color theme="1"/>
      <name val="Calibri"/>
      <family val="2"/>
      <scheme val="minor"/>
    </font>
    <font>
      <i/>
      <sz val="10"/>
      <color rgb="FF7F7F7F"/>
      <name val="Arial"/>
    </font>
    <font>
      <b/>
      <sz val="14"/>
      <color rgb="FF1F3864"/>
      <name val="Arial"/>
    </font>
    <font>
      <b/>
      <sz val="13"/>
      <color rgb="FF000000"/>
      <name val="Arial"/>
    </font>
    <font>
      <i/>
      <sz val="9"/>
      <color rgb="FF000000"/>
      <name val="Arial"/>
    </font>
    <font>
      <b/>
      <sz val="10"/>
      <color rgb="FFFFFFFF"/>
      <name val="Arial"/>
    </font>
    <font>
      <b/>
      <sz val="10"/>
      <color rgb="FF000000"/>
      <name val="Arial"/>
    </font>
    <font>
      <sz val="10"/>
      <color rgb="FF000000"/>
      <name val="Arial"/>
    </font>
    <font>
      <sz val="10"/>
      <color rgb="FF0000FF"/>
      <name val="Arial"/>
    </font>
    <font>
      <b/>
      <sz val="9"/>
      <color rgb="FFFFFFFF"/>
      <name val="Arial"/>
    </font>
    <font>
      <sz val="9"/>
      <color rgb="FF000000"/>
      <name val="Arial"/>
    </font>
    <font>
      <b/>
      <sz val="16"/>
      <color rgb="FF1F3864"/>
      <name val="Arial"/>
    </font>
    <font>
      <sz val="10"/>
      <color rgb="FFFFFFFF"/>
      <name val="Arial"/>
    </font>
    <font>
      <u/>
      <sz val="10"/>
      <color rgb="FF0563C1"/>
      <name val="Arial"/>
    </font>
  </fonts>
  <fills count="7">
    <fill>
      <patternFill patternType="none"/>
    </fill>
    <fill>
      <patternFill patternType="gray125"/>
    </fill>
    <fill>
      <patternFill patternType="solid">
        <fgColor rgb="FF1F3864"/>
      </patternFill>
    </fill>
    <fill>
      <patternFill patternType="solid">
        <fgColor rgb="FFD9E1F2"/>
      </patternFill>
    </fill>
    <fill>
      <patternFill patternType="solid">
        <fgColor rgb="FFE7E6E6"/>
      </patternFill>
    </fill>
    <fill>
      <patternFill patternType="solid">
        <fgColor rgb="FFFFF2CC"/>
      </patternFill>
    </fill>
    <fill>
      <patternFill patternType="solid">
        <fgColor rgb="FFF2F2F2"/>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55">
    <xf numFmtId="0" fontId="0" fillId="0" borderId="0" xfId="0"/>
    <xf numFmtId="0" fontId="6" fillId="3"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3" fillId="0" borderId="1" xfId="0" applyFont="1" applyBorder="1" applyAlignment="1">
      <alignment horizontal="left" vertical="center" wrapText="1"/>
    </xf>
    <xf numFmtId="0" fontId="10" fillId="0" borderId="1" xfId="0" applyFont="1" applyBorder="1" applyAlignment="1">
      <alignment horizontal="left" vertical="center" wrapText="1"/>
    </xf>
    <xf numFmtId="0" fontId="7" fillId="4" borderId="1" xfId="0" applyFont="1" applyFill="1" applyBorder="1" applyAlignment="1">
      <alignment horizontal="left" vertical="center" wrapText="1"/>
    </xf>
    <xf numFmtId="165" fontId="7" fillId="4" borderId="1" xfId="0" applyNumberFormat="1" applyFont="1" applyFill="1" applyBorder="1" applyAlignment="1">
      <alignment horizontal="left" vertical="center" wrapText="1"/>
    </xf>
    <xf numFmtId="0" fontId="8" fillId="5" borderId="1" xfId="0" applyFont="1" applyFill="1" applyBorder="1" applyAlignment="1">
      <alignment horizontal="left" vertical="center" wrapText="1"/>
    </xf>
    <xf numFmtId="166" fontId="8" fillId="5" borderId="1" xfId="0" applyNumberFormat="1" applyFont="1" applyFill="1" applyBorder="1" applyAlignment="1">
      <alignment horizontal="left" vertical="center" wrapText="1"/>
    </xf>
    <xf numFmtId="165" fontId="8" fillId="5" borderId="1" xfId="0" applyNumberFormat="1" applyFont="1" applyFill="1" applyBorder="1" applyAlignment="1">
      <alignment horizontal="left" vertical="center" wrapText="1"/>
    </xf>
    <xf numFmtId="0" fontId="9" fillId="2" borderId="1" xfId="0" applyFont="1" applyFill="1" applyBorder="1" applyAlignment="1">
      <alignment horizontal="center" vertical="center" wrapText="1"/>
    </xf>
    <xf numFmtId="0" fontId="7" fillId="0" borderId="1" xfId="0" applyFont="1" applyBorder="1" applyAlignment="1">
      <alignment horizontal="left" vertical="top" wrapText="1"/>
    </xf>
    <xf numFmtId="166" fontId="7" fillId="4" borderId="1" xfId="0" applyNumberFormat="1" applyFont="1" applyFill="1" applyBorder="1" applyAlignment="1">
      <alignment horizontal="left" vertical="center" wrapText="1"/>
    </xf>
    <xf numFmtId="167" fontId="7" fillId="4" borderId="1" xfId="0" applyNumberFormat="1" applyFont="1" applyFill="1" applyBorder="1" applyAlignment="1">
      <alignment horizontal="left" vertical="center" wrapText="1"/>
    </xf>
    <xf numFmtId="167" fontId="8" fillId="5" borderId="1" xfId="0" applyNumberFormat="1" applyFont="1" applyFill="1" applyBorder="1" applyAlignment="1">
      <alignment horizontal="left" vertical="center" wrapText="1"/>
    </xf>
    <xf numFmtId="0" fontId="6" fillId="3" borderId="1" xfId="0" applyFont="1" applyFill="1" applyBorder="1" applyAlignment="1">
      <alignment horizontal="center" vertical="center" wrapText="1"/>
    </xf>
    <xf numFmtId="169" fontId="7" fillId="4" borderId="1" xfId="0" applyNumberFormat="1" applyFont="1" applyFill="1" applyBorder="1" applyAlignment="1">
      <alignment horizontal="left" vertical="center" wrapText="1"/>
    </xf>
    <xf numFmtId="166" fontId="7" fillId="0" borderId="1" xfId="0" applyNumberFormat="1" applyFont="1" applyBorder="1" applyAlignment="1">
      <alignment horizontal="left" vertical="center" wrapText="1"/>
    </xf>
    <xf numFmtId="0" fontId="6" fillId="4" borderId="1" xfId="0" applyFont="1" applyFill="1" applyBorder="1" applyAlignment="1">
      <alignment horizontal="left" vertical="center" wrapText="1"/>
    </xf>
    <xf numFmtId="167" fontId="7" fillId="0" borderId="1" xfId="0" applyNumberFormat="1" applyFont="1" applyBorder="1" applyAlignment="1">
      <alignment horizontal="left" vertical="center" wrapText="1"/>
    </xf>
    <xf numFmtId="167" fontId="6" fillId="3" borderId="1" xfId="0" applyNumberFormat="1" applyFont="1" applyFill="1" applyBorder="1" applyAlignment="1">
      <alignment horizontal="left" vertical="center" wrapText="1"/>
    </xf>
    <xf numFmtId="166" fontId="6" fillId="3" borderId="1" xfId="0" applyNumberFormat="1" applyFont="1" applyFill="1" applyBorder="1" applyAlignment="1">
      <alignment horizontal="left" vertical="center" wrapText="1"/>
    </xf>
    <xf numFmtId="0" fontId="7" fillId="3" borderId="1" xfId="0" applyFont="1" applyFill="1" applyBorder="1" applyAlignment="1">
      <alignment horizontal="left" vertical="center" wrapText="1"/>
    </xf>
    <xf numFmtId="0" fontId="11" fillId="0" borderId="0" xfId="0" applyFont="1" applyAlignment="1">
      <alignment horizontal="center" vertical="center" wrapText="1"/>
    </xf>
    <xf numFmtId="0" fontId="6" fillId="3" borderId="1" xfId="0" applyFont="1" applyFill="1" applyBorder="1" applyAlignment="1">
      <alignment horizontal="left" vertical="center" wrapText="1"/>
    </xf>
    <xf numFmtId="0" fontId="10"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5" fillId="2" borderId="1" xfId="0" applyFont="1" applyFill="1" applyBorder="1" applyAlignment="1">
      <alignment horizontal="left" vertical="center" wrapText="1"/>
    </xf>
    <xf numFmtId="165" fontId="7" fillId="4" borderId="1" xfId="0" applyNumberFormat="1" applyFont="1" applyFill="1" applyBorder="1" applyAlignment="1">
      <alignment horizontal="left" vertical="center" wrapText="1"/>
    </xf>
    <xf numFmtId="0" fontId="1" fillId="0" borderId="1" xfId="0" applyFont="1" applyBorder="1" applyAlignment="1">
      <alignment horizontal="center"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7" fillId="0" borderId="1" xfId="0" applyFont="1" applyBorder="1" applyAlignment="1">
      <alignment horizontal="left" vertical="top" wrapText="1"/>
    </xf>
    <xf numFmtId="165" fontId="8" fillId="5" borderId="1" xfId="0" applyNumberFormat="1" applyFont="1" applyFill="1" applyBorder="1" applyAlignment="1">
      <alignment horizontal="left" vertical="center" wrapText="1"/>
    </xf>
    <xf numFmtId="0" fontId="9"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167" fontId="7" fillId="4" borderId="1" xfId="0" applyNumberFormat="1" applyFont="1" applyFill="1" applyBorder="1" applyAlignment="1">
      <alignment horizontal="left" vertical="center" wrapText="1"/>
    </xf>
    <xf numFmtId="0" fontId="5" fillId="2" borderId="1" xfId="0" applyFont="1" applyFill="1" applyBorder="1" applyAlignment="1">
      <alignment horizontal="center" vertical="center" wrapText="1"/>
    </xf>
    <xf numFmtId="166" fontId="7" fillId="4" borderId="1" xfId="0" applyNumberFormat="1" applyFont="1" applyFill="1" applyBorder="1" applyAlignment="1">
      <alignment horizontal="left" vertical="center" wrapText="1"/>
    </xf>
    <xf numFmtId="169" fontId="7" fillId="4" borderId="1" xfId="0" applyNumberFormat="1" applyFont="1" applyFill="1" applyBorder="1" applyAlignment="1">
      <alignment horizontal="left" vertical="center" wrapText="1"/>
    </xf>
    <xf numFmtId="0" fontId="6" fillId="3" borderId="1" xfId="0" applyFont="1" applyFill="1" applyBorder="1" applyAlignment="1">
      <alignment horizontal="right" vertical="center" wrapText="1"/>
    </xf>
    <xf numFmtId="0" fontId="6" fillId="0" borderId="1" xfId="0" applyFont="1" applyBorder="1" applyAlignment="1">
      <alignment horizontal="center" vertical="center" wrapText="1"/>
    </xf>
    <xf numFmtId="167" fontId="8" fillId="5" borderId="1" xfId="0" applyNumberFormat="1" applyFont="1" applyFill="1" applyBorder="1" applyAlignment="1">
      <alignment horizontal="left" vertical="center" wrapText="1"/>
    </xf>
    <xf numFmtId="0" fontId="4" fillId="3" borderId="1" xfId="0" applyFont="1" applyFill="1" applyBorder="1" applyAlignment="1">
      <alignment horizontal="left" vertical="center" wrapText="1"/>
    </xf>
    <xf numFmtId="0" fontId="7"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D36"/>
  <sheetViews>
    <sheetView showGridLines="0" tabSelected="1" workbookViewId="0">
      <selection activeCell="A5" sqref="A5:D5"/>
    </sheetView>
  </sheetViews>
  <sheetFormatPr defaultRowHeight="14.4" x14ac:dyDescent="0.55000000000000004"/>
  <cols>
    <col min="1" max="1" width="12" customWidth="1"/>
    <col min="2" max="2" width="34" customWidth="1"/>
    <col min="3" max="3" width="86" customWidth="1"/>
    <col min="4" max="4" width="30" customWidth="1"/>
  </cols>
  <sheetData>
    <row r="1" spans="1:4" ht="18.55" customHeight="1" x14ac:dyDescent="0.55000000000000004">
      <c r="A1" s="29" t="s">
        <v>0</v>
      </c>
      <c r="B1" s="29"/>
      <c r="C1" s="29"/>
      <c r="D1" s="29"/>
    </row>
    <row r="2" spans="1:4" ht="18.55" customHeight="1" x14ac:dyDescent="0.55000000000000004">
      <c r="A2" s="34" t="s">
        <v>1</v>
      </c>
      <c r="B2" s="34"/>
      <c r="C2" s="34"/>
      <c r="D2" s="34"/>
    </row>
    <row r="3" spans="1:4" ht="18.55" customHeight="1" x14ac:dyDescent="0.55000000000000004">
      <c r="A3" s="33" t="s">
        <v>2</v>
      </c>
      <c r="B3" s="33"/>
      <c r="C3" s="33"/>
      <c r="D3" s="33"/>
    </row>
    <row r="5" spans="1:4" ht="18.55" customHeight="1" x14ac:dyDescent="0.55000000000000004">
      <c r="A5" s="30" t="s">
        <v>3</v>
      </c>
      <c r="B5" s="30"/>
      <c r="C5" s="30"/>
      <c r="D5" s="30"/>
    </row>
    <row r="6" spans="1:4" ht="18.55" customHeight="1" x14ac:dyDescent="0.55000000000000004">
      <c r="A6" s="2" t="s">
        <v>4</v>
      </c>
      <c r="B6" s="32" t="s">
        <v>5</v>
      </c>
      <c r="C6" s="32"/>
      <c r="D6" s="32"/>
    </row>
    <row r="7" spans="1:4" ht="18.55" customHeight="1" x14ac:dyDescent="0.55000000000000004">
      <c r="A7" s="4" t="s">
        <v>6</v>
      </c>
      <c r="B7" s="32" t="s">
        <v>7</v>
      </c>
      <c r="C7" s="32"/>
      <c r="D7" s="32"/>
    </row>
    <row r="8" spans="1:4" ht="18.55" customHeight="1" x14ac:dyDescent="0.55000000000000004">
      <c r="A8" s="5" t="s">
        <v>8</v>
      </c>
      <c r="B8" s="32" t="s">
        <v>9</v>
      </c>
      <c r="C8" s="32"/>
      <c r="D8" s="32"/>
    </row>
    <row r="9" spans="1:4" ht="18.55" customHeight="1" x14ac:dyDescent="0.55000000000000004">
      <c r="A9" s="6" t="s">
        <v>10</v>
      </c>
      <c r="B9" s="32" t="s">
        <v>11</v>
      </c>
      <c r="C9" s="32"/>
      <c r="D9" s="32"/>
    </row>
    <row r="11" spans="1:4" ht="24" customHeight="1" x14ac:dyDescent="0.55000000000000004">
      <c r="A11" s="7" t="s">
        <v>12</v>
      </c>
      <c r="B11" s="7" t="s">
        <v>13</v>
      </c>
      <c r="C11" s="7" t="s">
        <v>14</v>
      </c>
      <c r="D11" s="7" t="s">
        <v>15</v>
      </c>
    </row>
    <row r="12" spans="1:4" ht="31" customHeight="1" x14ac:dyDescent="0.55000000000000004">
      <c r="A12" s="8" t="s">
        <v>16</v>
      </c>
      <c r="B12" s="9" t="s">
        <v>17</v>
      </c>
      <c r="C12" s="3" t="s">
        <v>18</v>
      </c>
      <c r="D12" s="10" t="s">
        <v>19</v>
      </c>
    </row>
    <row r="13" spans="1:4" ht="20.05" customHeight="1" x14ac:dyDescent="0.55000000000000004">
      <c r="A13" s="8" t="s">
        <v>20</v>
      </c>
      <c r="B13" s="9" t="s">
        <v>21</v>
      </c>
      <c r="C13" s="3" t="s">
        <v>22</v>
      </c>
      <c r="D13" s="10" t="s">
        <v>23</v>
      </c>
    </row>
    <row r="14" spans="1:4" ht="31" customHeight="1" x14ac:dyDescent="0.55000000000000004">
      <c r="A14" s="8" t="s">
        <v>24</v>
      </c>
      <c r="B14" s="9" t="s">
        <v>25</v>
      </c>
      <c r="C14" s="3" t="s">
        <v>26</v>
      </c>
      <c r="D14" s="10" t="s">
        <v>27</v>
      </c>
    </row>
    <row r="15" spans="1:4" ht="31" customHeight="1" x14ac:dyDescent="0.55000000000000004">
      <c r="A15" s="8" t="s">
        <v>28</v>
      </c>
      <c r="B15" s="9" t="s">
        <v>29</v>
      </c>
      <c r="C15" s="3" t="s">
        <v>30</v>
      </c>
      <c r="D15" s="10" t="s">
        <v>31</v>
      </c>
    </row>
    <row r="16" spans="1:4" ht="31" customHeight="1" x14ac:dyDescent="0.55000000000000004">
      <c r="A16" s="8" t="s">
        <v>32</v>
      </c>
      <c r="B16" s="9" t="s">
        <v>33</v>
      </c>
      <c r="C16" s="3" t="s">
        <v>34</v>
      </c>
      <c r="D16" s="10" t="s">
        <v>35</v>
      </c>
    </row>
    <row r="17" spans="1:4" ht="20.05" customHeight="1" x14ac:dyDescent="0.55000000000000004">
      <c r="A17" s="8" t="s">
        <v>36</v>
      </c>
      <c r="B17" s="9" t="s">
        <v>37</v>
      </c>
      <c r="C17" s="3" t="s">
        <v>38</v>
      </c>
      <c r="D17" s="10" t="s">
        <v>39</v>
      </c>
    </row>
    <row r="18" spans="1:4" ht="31" customHeight="1" x14ac:dyDescent="0.55000000000000004">
      <c r="A18" s="8" t="s">
        <v>40</v>
      </c>
      <c r="B18" s="9" t="s">
        <v>41</v>
      </c>
      <c r="C18" s="3" t="s">
        <v>42</v>
      </c>
      <c r="D18" s="10" t="s">
        <v>43</v>
      </c>
    </row>
    <row r="19" spans="1:4" ht="31" customHeight="1" x14ac:dyDescent="0.55000000000000004">
      <c r="A19" s="8" t="s">
        <v>44</v>
      </c>
      <c r="B19" s="9" t="s">
        <v>45</v>
      </c>
      <c r="C19" s="3" t="s">
        <v>46</v>
      </c>
      <c r="D19" s="10" t="s">
        <v>47</v>
      </c>
    </row>
    <row r="20" spans="1:4" ht="31" customHeight="1" x14ac:dyDescent="0.55000000000000004">
      <c r="A20" s="8" t="s">
        <v>48</v>
      </c>
      <c r="B20" s="9" t="s">
        <v>49</v>
      </c>
      <c r="C20" s="3" t="s">
        <v>50</v>
      </c>
      <c r="D20" s="10" t="s">
        <v>51</v>
      </c>
    </row>
    <row r="21" spans="1:4" ht="31" customHeight="1" x14ac:dyDescent="0.55000000000000004">
      <c r="A21" s="8" t="s">
        <v>52</v>
      </c>
      <c r="B21" s="9" t="s">
        <v>53</v>
      </c>
      <c r="C21" s="3" t="s">
        <v>54</v>
      </c>
      <c r="D21" s="10" t="s">
        <v>55</v>
      </c>
    </row>
    <row r="22" spans="1:4" ht="31" customHeight="1" x14ac:dyDescent="0.55000000000000004">
      <c r="A22" s="8" t="s">
        <v>56</v>
      </c>
      <c r="B22" s="9" t="s">
        <v>57</v>
      </c>
      <c r="C22" s="3" t="s">
        <v>58</v>
      </c>
      <c r="D22" s="10" t="s">
        <v>59</v>
      </c>
    </row>
    <row r="23" spans="1:4" ht="20.05" customHeight="1" x14ac:dyDescent="0.55000000000000004">
      <c r="A23" s="8" t="s">
        <v>60</v>
      </c>
      <c r="B23" s="9" t="s">
        <v>61</v>
      </c>
      <c r="C23" s="3" t="s">
        <v>62</v>
      </c>
      <c r="D23" s="10" t="s">
        <v>63</v>
      </c>
    </row>
    <row r="24" spans="1:4" ht="31" customHeight="1" x14ac:dyDescent="0.55000000000000004">
      <c r="A24" s="8" t="s">
        <v>64</v>
      </c>
      <c r="B24" s="9" t="s">
        <v>65</v>
      </c>
      <c r="C24" s="3" t="s">
        <v>66</v>
      </c>
      <c r="D24" s="10" t="s">
        <v>67</v>
      </c>
    </row>
    <row r="25" spans="1:4" ht="31" customHeight="1" x14ac:dyDescent="0.55000000000000004">
      <c r="A25" s="8" t="s">
        <v>68</v>
      </c>
      <c r="B25" s="9" t="s">
        <v>69</v>
      </c>
      <c r="C25" s="3" t="s">
        <v>70</v>
      </c>
      <c r="D25" s="10" t="s">
        <v>71</v>
      </c>
    </row>
    <row r="26" spans="1:4" ht="20.05" customHeight="1" x14ac:dyDescent="0.55000000000000004">
      <c r="A26" s="8" t="s">
        <v>72</v>
      </c>
      <c r="B26" s="9" t="s">
        <v>73</v>
      </c>
      <c r="C26" s="3" t="s">
        <v>74</v>
      </c>
      <c r="D26" s="10" t="s">
        <v>75</v>
      </c>
    </row>
    <row r="27" spans="1:4" ht="20.05" customHeight="1" x14ac:dyDescent="0.55000000000000004">
      <c r="A27" s="8" t="s">
        <v>76</v>
      </c>
      <c r="B27" s="9" t="s">
        <v>77</v>
      </c>
      <c r="C27" s="3" t="s">
        <v>78</v>
      </c>
      <c r="D27" s="10" t="s">
        <v>79</v>
      </c>
    </row>
    <row r="29" spans="1:4" ht="18.55" customHeight="1" x14ac:dyDescent="0.55000000000000004">
      <c r="A29" s="30" t="s">
        <v>80</v>
      </c>
      <c r="B29" s="30"/>
      <c r="C29" s="30"/>
      <c r="D29" s="30"/>
    </row>
    <row r="30" spans="1:4" ht="28" customHeight="1" x14ac:dyDescent="0.55000000000000004">
      <c r="A30" s="31" t="s">
        <v>81</v>
      </c>
      <c r="B30" s="31"/>
      <c r="C30" s="31"/>
      <c r="D30" s="31"/>
    </row>
    <row r="31" spans="1:4" ht="31" customHeight="1" x14ac:dyDescent="0.55000000000000004">
      <c r="A31" s="31" t="s">
        <v>82</v>
      </c>
      <c r="B31" s="31"/>
      <c r="C31" s="31"/>
      <c r="D31" s="31"/>
    </row>
    <row r="32" spans="1:4" ht="31" customHeight="1" x14ac:dyDescent="0.55000000000000004">
      <c r="A32" s="31" t="s">
        <v>83</v>
      </c>
      <c r="B32" s="31"/>
      <c r="C32" s="31"/>
      <c r="D32" s="31"/>
    </row>
    <row r="33" spans="1:4" ht="31" customHeight="1" x14ac:dyDescent="0.55000000000000004">
      <c r="A33" s="31" t="s">
        <v>84</v>
      </c>
      <c r="B33" s="31"/>
      <c r="C33" s="31"/>
      <c r="D33" s="31"/>
    </row>
    <row r="34" spans="1:4" ht="31" customHeight="1" x14ac:dyDescent="0.55000000000000004">
      <c r="A34" s="31" t="s">
        <v>85</v>
      </c>
      <c r="B34" s="31"/>
      <c r="C34" s="31"/>
      <c r="D34" s="31"/>
    </row>
    <row r="35" spans="1:4" ht="28" customHeight="1" x14ac:dyDescent="0.55000000000000004">
      <c r="A35" s="31" t="s">
        <v>86</v>
      </c>
      <c r="B35" s="31"/>
      <c r="C35" s="31"/>
      <c r="D35" s="31"/>
    </row>
    <row r="36" spans="1:4" ht="31" customHeight="1" x14ac:dyDescent="0.55000000000000004">
      <c r="A36" s="31" t="s">
        <v>87</v>
      </c>
      <c r="B36" s="31"/>
      <c r="C36" s="31"/>
      <c r="D36" s="31"/>
    </row>
  </sheetData>
  <mergeCells count="16">
    <mergeCell ref="A36:D36"/>
    <mergeCell ref="A1:D1"/>
    <mergeCell ref="A5:D5"/>
    <mergeCell ref="A31:D31"/>
    <mergeCell ref="A34:D34"/>
    <mergeCell ref="A35:D35"/>
    <mergeCell ref="B8:D8"/>
    <mergeCell ref="A3:D3"/>
    <mergeCell ref="A30:D30"/>
    <mergeCell ref="B9:D9"/>
    <mergeCell ref="A29:D29"/>
    <mergeCell ref="A2:D2"/>
    <mergeCell ref="A33:D33"/>
    <mergeCell ref="B7:D7"/>
    <mergeCell ref="B6:D6"/>
    <mergeCell ref="A32:D32"/>
  </mergeCells>
  <hyperlinks>
    <hyperlink ref="B12" location="'SM-01 Sales Order Entry'!A1" display="SM-01 Sales Order Entry" xr:uid="{00000000-0004-0000-0000-000000000000}"/>
    <hyperlink ref="B13" location="'SM-02 Tariff Slip'!A1" display="SM-02 Tariff Slip" xr:uid="{00000000-0004-0000-0000-000001000000}"/>
    <hyperlink ref="B14" location="'SM-03 Payment Confirmation'!A1" display="SM-03 Payment Confirmation" xr:uid="{00000000-0004-0000-0000-000002000000}"/>
    <hyperlink ref="B15" location="'SM-04 IC Payment Verification'!A1" display="SM-04 IC Payment Verification" xr:uid="{00000000-0004-0000-0000-000003000000}"/>
    <hyperlink ref="B16" location="'SM-05 Coal Allocation Auth'!A1" display="SM-05 Coal Allocation Auth" xr:uid="{00000000-0004-0000-0000-000004000000}"/>
    <hyperlink ref="B17" location="'SM-06 Dispatch Tracking'!A1" display="SM-06 Dispatch Tracking" xr:uid="{00000000-0004-0000-0000-000005000000}"/>
    <hyperlink ref="B18" location="'SM-07 Weighing Interface'!A1" display="SM-07 Weighing Interface" xr:uid="{00000000-0004-0000-0000-000006000000}"/>
    <hyperlink ref="B19" location="'SM-08 Sub-Office Minor Sale'!A1" display="SM-08 Sub-Office Minor Sale" xr:uid="{00000000-0004-0000-0000-000007000000}"/>
    <hyperlink ref="B20" location="'SM-09 Customer Tracking View'!A1" display="SM-09 Customer Tracking View" xr:uid="{00000000-0004-0000-0000-000008000000}"/>
    <hyperlink ref="B21" location="'SM-10 Customer Master'!A1" display="SM-10 Customer Master" xr:uid="{00000000-0004-0000-0000-000009000000}"/>
    <hyperlink ref="B22" location="'SM-11 Tariff Schedule'!A1" display="SM-11 Tariff Schedule" xr:uid="{00000000-0004-0000-0000-00000A000000}"/>
    <hyperlink ref="B23" location="'SM-12 Status Lifecycle'!A1" display="SM-12 Status Lifecycle" xr:uid="{00000000-0004-0000-0000-00000B000000}"/>
    <hyperlink ref="B24" location="'SM-13 Correction Request'!A1" display="SM-13 Correction Request" xr:uid="{00000000-0004-0000-0000-00000C000000}"/>
    <hyperlink ref="B25" location="'SM-14 Approval Matrix'!A1" display="SM-14 Approval Matrix" xr:uid="{00000000-0004-0000-0000-00000D000000}"/>
    <hyperlink ref="B26" location="'SM-15 Accounting Entries'!A1" display="SM-15 Accounting Entries" xr:uid="{00000000-0004-0000-0000-00000E000000}"/>
    <hyperlink ref="B27" location="'SM-16 Reports Spec'!A1" display="SM-16 Reports Spec" xr:uid="{00000000-0004-0000-0000-00000F000000}"/>
  </hyperlinks>
  <pageMargins left="0.5" right="0.5" top="1" bottom="1" header="0.5" footer="0.5"/>
  <pageSetup paperSize="9" fitToHeight="0" orientation="landscape"/>
  <headerFooter>
    <oddFooter>&amp;LIndex | Crest Point Consulting Group&amp;CPage &amp;P of &amp;N&amp;RStrictly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F30"/>
  <sheetViews>
    <sheetView showGridLines="0" workbookViewId="0">
      <selection sqref="A1:B3"/>
    </sheetView>
  </sheetViews>
  <sheetFormatPr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7" t="s">
        <v>88</v>
      </c>
      <c r="B1" s="37"/>
      <c r="C1" s="44" t="s">
        <v>0</v>
      </c>
      <c r="D1" s="44"/>
      <c r="E1" s="44"/>
      <c r="F1" s="44"/>
    </row>
    <row r="2" spans="1:6" ht="22" customHeight="1" x14ac:dyDescent="0.55000000000000004">
      <c r="A2" s="37"/>
      <c r="B2" s="37"/>
      <c r="C2" s="45" t="s">
        <v>89</v>
      </c>
      <c r="D2" s="45"/>
      <c r="E2" s="45"/>
      <c r="F2" s="45"/>
    </row>
    <row r="3" spans="1:6" ht="22" customHeight="1" x14ac:dyDescent="0.55000000000000004">
      <c r="A3" s="37"/>
      <c r="B3" s="37"/>
      <c r="C3" s="40" t="s">
        <v>90</v>
      </c>
      <c r="D3" s="40"/>
      <c r="E3" s="40"/>
      <c r="F3" s="40"/>
    </row>
    <row r="5" spans="1:6" ht="18.55" customHeight="1" x14ac:dyDescent="0.55000000000000004">
      <c r="A5" s="35" t="s">
        <v>91</v>
      </c>
      <c r="B5" s="35"/>
      <c r="C5" s="35"/>
      <c r="D5" s="35"/>
      <c r="E5" s="35"/>
      <c r="F5" s="35"/>
    </row>
    <row r="6" spans="1:6" ht="20.05" customHeight="1" x14ac:dyDescent="0.55000000000000004">
      <c r="A6" s="30" t="s">
        <v>92</v>
      </c>
      <c r="B6" s="30"/>
      <c r="C6" s="11" t="s">
        <v>93</v>
      </c>
      <c r="D6" s="1" t="s">
        <v>94</v>
      </c>
      <c r="E6" s="36">
        <v>46296</v>
      </c>
      <c r="F6" s="36"/>
    </row>
    <row r="7" spans="1:6" ht="20.05" customHeight="1" x14ac:dyDescent="0.55000000000000004">
      <c r="A7" s="30" t="s">
        <v>95</v>
      </c>
      <c r="B7" s="30"/>
      <c r="C7" s="13" t="s">
        <v>96</v>
      </c>
      <c r="D7" s="1" t="s">
        <v>97</v>
      </c>
      <c r="E7" s="38" t="s">
        <v>98</v>
      </c>
      <c r="F7" s="38"/>
    </row>
    <row r="8" spans="1:6" ht="31" customHeight="1" x14ac:dyDescent="0.55000000000000004">
      <c r="A8" s="30" t="s">
        <v>99</v>
      </c>
      <c r="B8" s="30"/>
      <c r="C8" s="14">
        <v>500</v>
      </c>
      <c r="D8" s="1" t="s">
        <v>100</v>
      </c>
      <c r="E8" s="38" t="s">
        <v>101</v>
      </c>
      <c r="F8" s="38"/>
    </row>
    <row r="9" spans="1:6" ht="43.5" customHeight="1" x14ac:dyDescent="0.55000000000000004">
      <c r="A9" s="30" t="s">
        <v>102</v>
      </c>
      <c r="B9" s="30"/>
      <c r="C9" s="13" t="s">
        <v>103</v>
      </c>
      <c r="D9" s="1" t="s">
        <v>104</v>
      </c>
      <c r="E9" s="42">
        <v>46295</v>
      </c>
      <c r="F9" s="42"/>
    </row>
    <row r="10" spans="1:6" ht="24" customHeight="1" x14ac:dyDescent="0.55000000000000004">
      <c r="A10" s="30" t="s">
        <v>105</v>
      </c>
      <c r="B10" s="30"/>
      <c r="C10" s="38" t="s">
        <v>106</v>
      </c>
      <c r="D10" s="38"/>
      <c r="E10" s="38"/>
      <c r="F10" s="38"/>
    </row>
    <row r="11" spans="1:6" ht="31" customHeight="1" x14ac:dyDescent="0.55000000000000004">
      <c r="A11" s="30" t="s">
        <v>107</v>
      </c>
      <c r="B11" s="30"/>
      <c r="C11" s="11" t="s">
        <v>108</v>
      </c>
      <c r="D11" s="1" t="s">
        <v>109</v>
      </c>
      <c r="E11" s="39" t="s">
        <v>110</v>
      </c>
      <c r="F11" s="39"/>
    </row>
    <row r="13" spans="1:6" ht="18.55" customHeight="1" x14ac:dyDescent="0.55000000000000004">
      <c r="A13" s="35" t="s">
        <v>111</v>
      </c>
      <c r="B13" s="35"/>
      <c r="C13" s="35"/>
      <c r="D13" s="35"/>
      <c r="E13" s="35"/>
      <c r="F13" s="35"/>
    </row>
    <row r="14" spans="1:6" ht="32.049999999999997" customHeight="1" x14ac:dyDescent="0.55000000000000004">
      <c r="A14" s="30" t="s">
        <v>112</v>
      </c>
      <c r="B14" s="30"/>
      <c r="C14" s="39" t="str">
        <f>IF(OR(C9="",E9=""),"BLOCKED - an order cannot exist in the system without the ED physical approval reference and date",IF(E9&gt;E6,"BLOCKED - ED approval date is after the order entry date","PASSED - hard-copy ED approval obtained before entry"))</f>
        <v>PASSED - hard-copy ED approval obtained before entry</v>
      </c>
      <c r="D14" s="39"/>
      <c r="E14" s="39"/>
      <c r="F14" s="39"/>
    </row>
    <row r="16" spans="1:6" ht="18.55" customHeight="1" x14ac:dyDescent="0.55000000000000004">
      <c r="A16" s="35" t="s">
        <v>113</v>
      </c>
      <c r="B16" s="35"/>
      <c r="C16" s="35"/>
      <c r="D16" s="35"/>
      <c r="E16" s="35"/>
      <c r="F16" s="35"/>
    </row>
    <row r="17" spans="1:6" ht="31" customHeight="1" x14ac:dyDescent="0.55000000000000004">
      <c r="A17" s="30" t="s">
        <v>114</v>
      </c>
      <c r="B17" s="30"/>
      <c r="C17" s="13" t="s">
        <v>115</v>
      </c>
      <c r="D17" s="1" t="s">
        <v>116</v>
      </c>
      <c r="E17" s="36">
        <v>46296</v>
      </c>
      <c r="F17" s="36"/>
    </row>
    <row r="18" spans="1:6" ht="28" customHeight="1" x14ac:dyDescent="0.55000000000000004">
      <c r="A18" s="30" t="s">
        <v>117</v>
      </c>
      <c r="B18" s="30"/>
      <c r="C18" s="39" t="str">
        <f>IF(C17="Confirmed","Status updated to ED Approved Recorded -&gt; Sales Officer may generate the Tariff Slip (SM-02)","Order not confirmed - Officer must raise a correction request (SM-13)")</f>
        <v>Status updated to ED Approved Recorded -&gt; Sales Officer may generate the Tariff Slip (SM-02)</v>
      </c>
      <c r="D18" s="39"/>
      <c r="E18" s="39"/>
      <c r="F18" s="39"/>
    </row>
    <row r="20" spans="1:6" ht="31" customHeight="1" x14ac:dyDescent="0.55000000000000004">
      <c r="A20" s="43" t="s">
        <v>118</v>
      </c>
      <c r="B20" s="43"/>
      <c r="C20" s="43"/>
      <c r="D20" s="43" t="s">
        <v>119</v>
      </c>
      <c r="E20" s="43"/>
      <c r="F20" s="43"/>
    </row>
    <row r="21" spans="1:6" ht="20.05" customHeight="1" x14ac:dyDescent="0.55000000000000004">
      <c r="A21" s="32" t="s">
        <v>120</v>
      </c>
      <c r="B21" s="32"/>
      <c r="C21" s="32"/>
      <c r="D21" s="32" t="s">
        <v>120</v>
      </c>
      <c r="E21" s="32"/>
      <c r="F21" s="32"/>
    </row>
    <row r="22" spans="1:6" ht="20.05" customHeight="1" x14ac:dyDescent="0.55000000000000004">
      <c r="A22" s="32" t="s">
        <v>121</v>
      </c>
      <c r="B22" s="32"/>
      <c r="C22" s="32"/>
      <c r="D22" s="32" t="s">
        <v>121</v>
      </c>
      <c r="E22" s="32"/>
      <c r="F22" s="32"/>
    </row>
    <row r="23" spans="1:6" ht="44.05" customHeight="1" x14ac:dyDescent="0.55000000000000004">
      <c r="A23" s="41" t="s">
        <v>122</v>
      </c>
      <c r="B23" s="41"/>
      <c r="C23" s="41"/>
      <c r="D23" s="41" t="s">
        <v>122</v>
      </c>
      <c r="E23" s="41"/>
      <c r="F23" s="41"/>
    </row>
    <row r="24" spans="1:6" ht="20.05" customHeight="1" x14ac:dyDescent="0.55000000000000004">
      <c r="A24" s="32" t="s">
        <v>123</v>
      </c>
      <c r="B24" s="32"/>
      <c r="C24" s="32"/>
      <c r="D24" s="32" t="s">
        <v>123</v>
      </c>
      <c r="E24" s="32"/>
      <c r="F24" s="32"/>
    </row>
    <row r="26" spans="1:6" ht="18.55" customHeight="1" x14ac:dyDescent="0.55000000000000004">
      <c r="A26" s="30" t="s">
        <v>124</v>
      </c>
      <c r="B26" s="30"/>
      <c r="C26" s="30"/>
      <c r="D26" s="30"/>
      <c r="E26" s="30"/>
      <c r="F26" s="30"/>
    </row>
    <row r="27" spans="1:6" ht="31" customHeight="1" x14ac:dyDescent="0.55000000000000004">
      <c r="A27" s="31" t="s">
        <v>125</v>
      </c>
      <c r="B27" s="31"/>
      <c r="C27" s="31"/>
      <c r="D27" s="31"/>
      <c r="E27" s="31"/>
      <c r="F27" s="31"/>
    </row>
    <row r="28" spans="1:6" ht="31" customHeight="1" x14ac:dyDescent="0.55000000000000004">
      <c r="A28" s="31" t="s">
        <v>126</v>
      </c>
      <c r="B28" s="31"/>
      <c r="C28" s="31"/>
      <c r="D28" s="31"/>
      <c r="E28" s="31"/>
      <c r="F28" s="31"/>
    </row>
    <row r="29" spans="1:6" ht="31" customHeight="1" x14ac:dyDescent="0.55000000000000004">
      <c r="A29" s="31" t="s">
        <v>127</v>
      </c>
      <c r="B29" s="31"/>
      <c r="C29" s="31"/>
      <c r="D29" s="31"/>
      <c r="E29" s="31"/>
      <c r="F29" s="31"/>
    </row>
    <row r="30" spans="1:6" ht="43.5" customHeight="1" x14ac:dyDescent="0.55000000000000004">
      <c r="A30" s="31" t="s">
        <v>128</v>
      </c>
      <c r="B30" s="31"/>
      <c r="C30" s="31"/>
      <c r="D30" s="31"/>
      <c r="E30" s="31"/>
      <c r="F30" s="31"/>
    </row>
  </sheetData>
  <mergeCells count="40">
    <mergeCell ref="A30:F30"/>
    <mergeCell ref="A8:B8"/>
    <mergeCell ref="D20:F20"/>
    <mergeCell ref="A24:C24"/>
    <mergeCell ref="E7:F7"/>
    <mergeCell ref="A10:B10"/>
    <mergeCell ref="D22:F22"/>
    <mergeCell ref="A9:B9"/>
    <mergeCell ref="A29:F29"/>
    <mergeCell ref="C14:F14"/>
    <mergeCell ref="D24:F24"/>
    <mergeCell ref="E6:F6"/>
    <mergeCell ref="A28:F28"/>
    <mergeCell ref="A13:F13"/>
    <mergeCell ref="D23:F23"/>
    <mergeCell ref="E11:F11"/>
    <mergeCell ref="A14:B14"/>
    <mergeCell ref="A17:B17"/>
    <mergeCell ref="C10:F10"/>
    <mergeCell ref="A1:B3"/>
    <mergeCell ref="E8:F8"/>
    <mergeCell ref="A6:B6"/>
    <mergeCell ref="D21:F21"/>
    <mergeCell ref="C18:F18"/>
    <mergeCell ref="C3:F3"/>
    <mergeCell ref="A7:B7"/>
    <mergeCell ref="A5:F5"/>
    <mergeCell ref="A18:B18"/>
    <mergeCell ref="E9:F9"/>
    <mergeCell ref="A20:C20"/>
    <mergeCell ref="C1:F1"/>
    <mergeCell ref="C2:F2"/>
    <mergeCell ref="A16:F16"/>
    <mergeCell ref="A11:B11"/>
    <mergeCell ref="A27:F27"/>
    <mergeCell ref="A21:C21"/>
    <mergeCell ref="A26:F26"/>
    <mergeCell ref="E17:F17"/>
    <mergeCell ref="A23:C23"/>
    <mergeCell ref="A22:C22"/>
  </mergeCells>
  <dataValidations count="1">
    <dataValidation type="list" allowBlank="1" sqref="C17" xr:uid="{00000000-0002-0000-0100-000000000000}">
      <formula1>"Confirmed,Rejected"</formula1>
    </dataValidation>
  </dataValidations>
  <pageMargins left="0.5" right="0.5" top="1" bottom="1" header="0.5" footer="0.5"/>
  <pageSetup paperSize="9" fitToHeight="0" orientation="portrait"/>
  <headerFooter>
    <oddFooter>&amp;LSM-01 | Crest Point Consulting Group&amp;CPage &amp;P of &amp;N&amp;RStrictly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F24"/>
  <sheetViews>
    <sheetView showGridLines="0" workbookViewId="0">
      <selection sqref="A1:B3"/>
    </sheetView>
  </sheetViews>
  <sheetFormatPr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7" t="s">
        <v>88</v>
      </c>
      <c r="B1" s="37"/>
      <c r="C1" s="44" t="s">
        <v>0</v>
      </c>
      <c r="D1" s="44"/>
      <c r="E1" s="44"/>
      <c r="F1" s="44"/>
    </row>
    <row r="2" spans="1:6" ht="22" customHeight="1" x14ac:dyDescent="0.55000000000000004">
      <c r="A2" s="37"/>
      <c r="B2" s="37"/>
      <c r="C2" s="45" t="s">
        <v>129</v>
      </c>
      <c r="D2" s="45"/>
      <c r="E2" s="45"/>
      <c r="F2" s="45"/>
    </row>
    <row r="3" spans="1:6" ht="31" customHeight="1" x14ac:dyDescent="0.55000000000000004">
      <c r="A3" s="37"/>
      <c r="B3" s="37"/>
      <c r="C3" s="40" t="s">
        <v>130</v>
      </c>
      <c r="D3" s="40"/>
      <c r="E3" s="40"/>
      <c r="F3" s="40"/>
    </row>
    <row r="5" spans="1:6" ht="31" customHeight="1" x14ac:dyDescent="0.55000000000000004">
      <c r="A5" s="30" t="s">
        <v>131</v>
      </c>
      <c r="B5" s="30"/>
      <c r="C5" s="11" t="s">
        <v>132</v>
      </c>
      <c r="D5" s="1" t="s">
        <v>133</v>
      </c>
      <c r="E5" s="36">
        <v>46297</v>
      </c>
      <c r="F5" s="36"/>
    </row>
    <row r="6" spans="1:6" ht="20.05" customHeight="1" x14ac:dyDescent="0.55000000000000004">
      <c r="A6" s="30" t="s">
        <v>134</v>
      </c>
      <c r="B6" s="30"/>
      <c r="C6" s="11" t="s">
        <v>93</v>
      </c>
      <c r="D6" s="1" t="s">
        <v>95</v>
      </c>
      <c r="E6" s="39" t="s">
        <v>96</v>
      </c>
      <c r="F6" s="39"/>
    </row>
    <row r="7" spans="1:6" ht="31" customHeight="1" x14ac:dyDescent="0.55000000000000004">
      <c r="A7" s="30" t="s">
        <v>97</v>
      </c>
      <c r="B7" s="30"/>
      <c r="C7" s="11" t="s">
        <v>98</v>
      </c>
      <c r="D7" s="1" t="s">
        <v>135</v>
      </c>
      <c r="E7" s="39" t="s">
        <v>101</v>
      </c>
      <c r="F7" s="39"/>
    </row>
    <row r="8" spans="1:6" ht="32.049999999999997" customHeight="1" x14ac:dyDescent="0.55000000000000004">
      <c r="A8" s="30" t="s">
        <v>136</v>
      </c>
      <c r="B8" s="30"/>
      <c r="C8" s="18">
        <v>500</v>
      </c>
      <c r="D8" s="1" t="s">
        <v>137</v>
      </c>
      <c r="E8" s="46">
        <v>5000</v>
      </c>
      <c r="F8" s="46"/>
    </row>
    <row r="9" spans="1:6" ht="43.5" customHeight="1" x14ac:dyDescent="0.55000000000000004">
      <c r="A9" s="30" t="s">
        <v>138</v>
      </c>
      <c r="B9" s="30"/>
      <c r="C9" s="19">
        <f>C8*E8</f>
        <v>2500000</v>
      </c>
      <c r="D9" s="1" t="s">
        <v>139</v>
      </c>
      <c r="E9" s="39" t="s">
        <v>140</v>
      </c>
      <c r="F9" s="39"/>
    </row>
    <row r="10" spans="1:6" ht="31" customHeight="1" x14ac:dyDescent="0.55000000000000004">
      <c r="A10" s="30" t="s">
        <v>141</v>
      </c>
      <c r="B10" s="30"/>
      <c r="C10" s="15">
        <v>46297</v>
      </c>
      <c r="D10" s="1" t="s">
        <v>142</v>
      </c>
      <c r="E10" s="42">
        <v>46311</v>
      </c>
      <c r="F10" s="42"/>
    </row>
    <row r="11" spans="1:6" ht="20.05" customHeight="1" x14ac:dyDescent="0.55000000000000004">
      <c r="A11" s="30" t="s">
        <v>143</v>
      </c>
      <c r="B11" s="30"/>
      <c r="C11" s="11" t="s">
        <v>103</v>
      </c>
      <c r="D11" s="1" t="s">
        <v>144</v>
      </c>
      <c r="E11" s="39" t="s">
        <v>145</v>
      </c>
      <c r="F11" s="39"/>
    </row>
    <row r="12" spans="1:6" ht="52" customHeight="1" x14ac:dyDescent="0.55000000000000004">
      <c r="A12" s="30" t="s">
        <v>146</v>
      </c>
      <c r="B12" s="30"/>
      <c r="C12" s="39" t="s">
        <v>147</v>
      </c>
      <c r="D12" s="39"/>
      <c r="E12" s="39"/>
      <c r="F12" s="39"/>
    </row>
    <row r="14" spans="1:6" ht="31" customHeight="1" x14ac:dyDescent="0.55000000000000004">
      <c r="A14" s="43" t="s">
        <v>148</v>
      </c>
      <c r="B14" s="43"/>
      <c r="C14" s="43"/>
      <c r="D14" s="43" t="s">
        <v>149</v>
      </c>
      <c r="E14" s="43"/>
      <c r="F14" s="43"/>
    </row>
    <row r="15" spans="1:6" ht="20.05" customHeight="1" x14ac:dyDescent="0.55000000000000004">
      <c r="A15" s="32" t="s">
        <v>120</v>
      </c>
      <c r="B15" s="32"/>
      <c r="C15" s="32"/>
      <c r="D15" s="32" t="s">
        <v>120</v>
      </c>
      <c r="E15" s="32"/>
      <c r="F15" s="32"/>
    </row>
    <row r="16" spans="1:6" ht="20.05" customHeight="1" x14ac:dyDescent="0.55000000000000004">
      <c r="A16" s="32" t="s">
        <v>121</v>
      </c>
      <c r="B16" s="32"/>
      <c r="C16" s="32"/>
      <c r="D16" s="32" t="s">
        <v>121</v>
      </c>
      <c r="E16" s="32"/>
      <c r="F16" s="32"/>
    </row>
    <row r="17" spans="1:6" ht="44.05" customHeight="1" x14ac:dyDescent="0.55000000000000004">
      <c r="A17" s="41" t="s">
        <v>122</v>
      </c>
      <c r="B17" s="41"/>
      <c r="C17" s="41"/>
      <c r="D17" s="41" t="s">
        <v>122</v>
      </c>
      <c r="E17" s="41"/>
      <c r="F17" s="41"/>
    </row>
    <row r="18" spans="1:6" ht="20.05" customHeight="1" x14ac:dyDescent="0.55000000000000004">
      <c r="A18" s="32" t="s">
        <v>123</v>
      </c>
      <c r="B18" s="32"/>
      <c r="C18" s="32"/>
      <c r="D18" s="32" t="s">
        <v>123</v>
      </c>
      <c r="E18" s="32"/>
      <c r="F18" s="32"/>
    </row>
    <row r="20" spans="1:6" ht="18.55" customHeight="1" x14ac:dyDescent="0.55000000000000004">
      <c r="A20" s="30" t="s">
        <v>124</v>
      </c>
      <c r="B20" s="30"/>
      <c r="C20" s="30"/>
      <c r="D20" s="30"/>
      <c r="E20" s="30"/>
      <c r="F20" s="30"/>
    </row>
    <row r="21" spans="1:6" ht="31" customHeight="1" x14ac:dyDescent="0.55000000000000004">
      <c r="A21" s="31" t="s">
        <v>150</v>
      </c>
      <c r="B21" s="31"/>
      <c r="C21" s="31"/>
      <c r="D21" s="31"/>
      <c r="E21" s="31"/>
      <c r="F21" s="31"/>
    </row>
    <row r="22" spans="1:6" ht="31" customHeight="1" x14ac:dyDescent="0.55000000000000004">
      <c r="A22" s="31" t="s">
        <v>151</v>
      </c>
      <c r="B22" s="31"/>
      <c r="C22" s="31"/>
      <c r="D22" s="31"/>
      <c r="E22" s="31"/>
      <c r="F22" s="31"/>
    </row>
    <row r="23" spans="1:6" ht="31" customHeight="1" x14ac:dyDescent="0.55000000000000004">
      <c r="A23" s="31" t="s">
        <v>152</v>
      </c>
      <c r="B23" s="31"/>
      <c r="C23" s="31"/>
      <c r="D23" s="31"/>
      <c r="E23" s="31"/>
      <c r="F23" s="31"/>
    </row>
    <row r="24" spans="1:6" ht="43.5" customHeight="1" x14ac:dyDescent="0.55000000000000004">
      <c r="A24" s="31" t="s">
        <v>128</v>
      </c>
      <c r="B24" s="31"/>
      <c r="C24" s="31"/>
      <c r="D24" s="31"/>
      <c r="E24" s="31"/>
      <c r="F24" s="31"/>
    </row>
  </sheetData>
  <mergeCells count="35">
    <mergeCell ref="C2:F2"/>
    <mergeCell ref="A16:C16"/>
    <mergeCell ref="A24:F24"/>
    <mergeCell ref="E7:F7"/>
    <mergeCell ref="C12:F12"/>
    <mergeCell ref="A10:B10"/>
    <mergeCell ref="A9:B9"/>
    <mergeCell ref="A23:F23"/>
    <mergeCell ref="A17:C17"/>
    <mergeCell ref="D18:F18"/>
    <mergeCell ref="A22:F22"/>
    <mergeCell ref="A20:F20"/>
    <mergeCell ref="A1:B3"/>
    <mergeCell ref="E8:F8"/>
    <mergeCell ref="A6:B6"/>
    <mergeCell ref="D16:F16"/>
    <mergeCell ref="C3:F3"/>
    <mergeCell ref="A7:B7"/>
    <mergeCell ref="E10:F10"/>
    <mergeCell ref="A14:C14"/>
    <mergeCell ref="E9:F9"/>
    <mergeCell ref="D15:F15"/>
    <mergeCell ref="A12:B12"/>
    <mergeCell ref="E6:F6"/>
    <mergeCell ref="D14:F14"/>
    <mergeCell ref="E11:F11"/>
    <mergeCell ref="A5:B5"/>
    <mergeCell ref="C1:F1"/>
    <mergeCell ref="A11:B11"/>
    <mergeCell ref="E5:F5"/>
    <mergeCell ref="A18:C18"/>
    <mergeCell ref="D17:F17"/>
    <mergeCell ref="A21:F21"/>
    <mergeCell ref="A15:C15"/>
    <mergeCell ref="A8:B8"/>
  </mergeCells>
  <pageMargins left="0.5" right="0.5" top="1" bottom="1" header="0.5" footer="0.5"/>
  <pageSetup paperSize="9" fitToHeight="0" orientation="portrait"/>
  <headerFooter>
    <oddFooter>&amp;LSM-02 | Crest Point Consulting Group&amp;CPage &amp;P of &amp;N&amp;RStrictly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F23"/>
  <sheetViews>
    <sheetView showGridLines="0" workbookViewId="0">
      <selection sqref="A1:B3"/>
    </sheetView>
  </sheetViews>
  <sheetFormatPr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7" t="s">
        <v>88</v>
      </c>
      <c r="B1" s="37"/>
      <c r="C1" s="44" t="s">
        <v>0</v>
      </c>
      <c r="D1" s="44"/>
      <c r="E1" s="44"/>
      <c r="F1" s="44"/>
    </row>
    <row r="2" spans="1:6" ht="22" customHeight="1" x14ac:dyDescent="0.55000000000000004">
      <c r="A2" s="37"/>
      <c r="B2" s="37"/>
      <c r="C2" s="45" t="s">
        <v>153</v>
      </c>
      <c r="D2" s="45"/>
      <c r="E2" s="45"/>
      <c r="F2" s="45"/>
    </row>
    <row r="3" spans="1:6" ht="22" customHeight="1" x14ac:dyDescent="0.55000000000000004">
      <c r="A3" s="37"/>
      <c r="B3" s="37"/>
      <c r="C3" s="40" t="s">
        <v>154</v>
      </c>
      <c r="D3" s="40"/>
      <c r="E3" s="40"/>
      <c r="F3" s="40"/>
    </row>
    <row r="5" spans="1:6" ht="18.55" customHeight="1" x14ac:dyDescent="0.55000000000000004">
      <c r="A5" s="35" t="s">
        <v>155</v>
      </c>
      <c r="B5" s="35"/>
      <c r="C5" s="35"/>
      <c r="D5" s="35"/>
      <c r="E5" s="35"/>
      <c r="F5" s="35"/>
    </row>
    <row r="6" spans="1:6" ht="20.05" customHeight="1" x14ac:dyDescent="0.55000000000000004">
      <c r="A6" s="30" t="s">
        <v>156</v>
      </c>
      <c r="B6" s="30"/>
      <c r="C6" s="11" t="s">
        <v>132</v>
      </c>
      <c r="D6" s="1" t="s">
        <v>134</v>
      </c>
      <c r="E6" s="39" t="s">
        <v>93</v>
      </c>
      <c r="F6" s="39"/>
    </row>
    <row r="7" spans="1:6" ht="32.049999999999997" customHeight="1" x14ac:dyDescent="0.55000000000000004">
      <c r="A7" s="30" t="s">
        <v>95</v>
      </c>
      <c r="B7" s="30"/>
      <c r="C7" s="11" t="s">
        <v>96</v>
      </c>
      <c r="D7" s="1" t="s">
        <v>157</v>
      </c>
      <c r="E7" s="38" t="s">
        <v>158</v>
      </c>
      <c r="F7" s="38"/>
    </row>
    <row r="8" spans="1:6" ht="31" customHeight="1" x14ac:dyDescent="0.55000000000000004">
      <c r="A8" s="30" t="s">
        <v>159</v>
      </c>
      <c r="B8" s="30"/>
      <c r="C8" s="12">
        <v>46300</v>
      </c>
      <c r="D8" s="1" t="s">
        <v>160</v>
      </c>
      <c r="E8" s="39" t="s">
        <v>161</v>
      </c>
      <c r="F8" s="39"/>
    </row>
    <row r="9" spans="1:6" ht="32.049999999999997" customHeight="1" x14ac:dyDescent="0.55000000000000004">
      <c r="A9" s="30" t="s">
        <v>162</v>
      </c>
      <c r="B9" s="30"/>
      <c r="C9" s="19">
        <v>2500000</v>
      </c>
      <c r="D9" s="1" t="s">
        <v>163</v>
      </c>
      <c r="E9" s="46">
        <v>2500000</v>
      </c>
      <c r="F9" s="46"/>
    </row>
    <row r="10" spans="1:6" ht="20.05" customHeight="1" x14ac:dyDescent="0.55000000000000004">
      <c r="A10" s="30" t="s">
        <v>164</v>
      </c>
      <c r="B10" s="30"/>
      <c r="C10" s="19">
        <f>C9-E9</f>
        <v>0</v>
      </c>
      <c r="D10" s="1" t="s">
        <v>165</v>
      </c>
      <c r="E10" s="39" t="str">
        <f>IF(C10=0,"MATCHED","NOT MATCHED")</f>
        <v>MATCHED</v>
      </c>
      <c r="F10" s="39"/>
    </row>
    <row r="11" spans="1:6" ht="38.049999999999997" customHeight="1" x14ac:dyDescent="0.55000000000000004">
      <c r="A11" s="30" t="s">
        <v>166</v>
      </c>
      <c r="B11" s="30"/>
      <c r="C11" s="39" t="str">
        <f>IF(E10="MATCHED","Dr Bank Account / Cr Customer Advance (Current Liability) - posted automatically on the Finance Officer's confirmed match","No posting - the deposit stays Unreconciled and the Finance Department Head is notified (FA-06)")</f>
        <v>Dr Bank Account / Cr Customer Advance (Current Liability) - posted automatically on the Finance Officer's confirmed match</v>
      </c>
      <c r="D11" s="39"/>
      <c r="E11" s="39"/>
      <c r="F11" s="39"/>
    </row>
    <row r="12" spans="1:6" ht="31" customHeight="1" x14ac:dyDescent="0.55000000000000004">
      <c r="A12" s="30" t="s">
        <v>167</v>
      </c>
      <c r="B12" s="30"/>
      <c r="C12" s="11" t="s">
        <v>168</v>
      </c>
      <c r="D12" s="1" t="s">
        <v>169</v>
      </c>
      <c r="E12" s="39" t="s">
        <v>170</v>
      </c>
      <c r="F12" s="39"/>
    </row>
    <row r="14" spans="1:6" ht="31" customHeight="1" x14ac:dyDescent="0.55000000000000004">
      <c r="A14" s="43" t="s">
        <v>171</v>
      </c>
      <c r="B14" s="43"/>
      <c r="C14" s="43"/>
      <c r="D14" s="43" t="s">
        <v>172</v>
      </c>
      <c r="E14" s="43"/>
      <c r="F14" s="43"/>
    </row>
    <row r="15" spans="1:6" ht="20.05" customHeight="1" x14ac:dyDescent="0.55000000000000004">
      <c r="A15" s="32" t="s">
        <v>120</v>
      </c>
      <c r="B15" s="32"/>
      <c r="C15" s="32"/>
      <c r="D15" s="32" t="s">
        <v>120</v>
      </c>
      <c r="E15" s="32"/>
      <c r="F15" s="32"/>
    </row>
    <row r="16" spans="1:6" ht="20.05" customHeight="1" x14ac:dyDescent="0.55000000000000004">
      <c r="A16" s="32" t="s">
        <v>121</v>
      </c>
      <c r="B16" s="32"/>
      <c r="C16" s="32"/>
      <c r="D16" s="32" t="s">
        <v>121</v>
      </c>
      <c r="E16" s="32"/>
      <c r="F16" s="32"/>
    </row>
    <row r="17" spans="1:6" ht="44.05" customHeight="1" x14ac:dyDescent="0.55000000000000004">
      <c r="A17" s="41" t="s">
        <v>122</v>
      </c>
      <c r="B17" s="41"/>
      <c r="C17" s="41"/>
      <c r="D17" s="41" t="s">
        <v>122</v>
      </c>
      <c r="E17" s="41"/>
      <c r="F17" s="41"/>
    </row>
    <row r="18" spans="1:6" ht="20.05" customHeight="1" x14ac:dyDescent="0.55000000000000004">
      <c r="A18" s="32" t="s">
        <v>123</v>
      </c>
      <c r="B18" s="32"/>
      <c r="C18" s="32"/>
      <c r="D18" s="32" t="s">
        <v>123</v>
      </c>
      <c r="E18" s="32"/>
      <c r="F18" s="32"/>
    </row>
    <row r="20" spans="1:6" ht="18.55" customHeight="1" x14ac:dyDescent="0.55000000000000004">
      <c r="A20" s="30" t="s">
        <v>124</v>
      </c>
      <c r="B20" s="30"/>
      <c r="C20" s="30"/>
      <c r="D20" s="30"/>
      <c r="E20" s="30"/>
      <c r="F20" s="30"/>
    </row>
    <row r="21" spans="1:6" ht="31" customHeight="1" x14ac:dyDescent="0.55000000000000004">
      <c r="A21" s="31" t="s">
        <v>173</v>
      </c>
      <c r="B21" s="31"/>
      <c r="C21" s="31"/>
      <c r="D21" s="31"/>
      <c r="E21" s="31"/>
      <c r="F21" s="31"/>
    </row>
    <row r="22" spans="1:6" ht="31" customHeight="1" x14ac:dyDescent="0.55000000000000004">
      <c r="A22" s="31" t="s">
        <v>174</v>
      </c>
      <c r="B22" s="31"/>
      <c r="C22" s="31"/>
      <c r="D22" s="31"/>
      <c r="E22" s="31"/>
      <c r="F22" s="31"/>
    </row>
    <row r="23" spans="1:6" ht="31" customHeight="1" x14ac:dyDescent="0.55000000000000004">
      <c r="A23" s="31" t="s">
        <v>175</v>
      </c>
      <c r="B23" s="31"/>
      <c r="C23" s="31"/>
      <c r="D23" s="31"/>
      <c r="E23" s="31"/>
      <c r="F23" s="31"/>
    </row>
  </sheetData>
  <mergeCells count="33">
    <mergeCell ref="C2:F2"/>
    <mergeCell ref="A16:C16"/>
    <mergeCell ref="A8:B8"/>
    <mergeCell ref="E7:F7"/>
    <mergeCell ref="A10:B10"/>
    <mergeCell ref="C11:F11"/>
    <mergeCell ref="A9:B9"/>
    <mergeCell ref="A23:F23"/>
    <mergeCell ref="A17:C17"/>
    <mergeCell ref="D18:F18"/>
    <mergeCell ref="A22:F22"/>
    <mergeCell ref="A20:F20"/>
    <mergeCell ref="A1:B3"/>
    <mergeCell ref="E8:F8"/>
    <mergeCell ref="A6:B6"/>
    <mergeCell ref="D16:F16"/>
    <mergeCell ref="C3:F3"/>
    <mergeCell ref="A7:B7"/>
    <mergeCell ref="E10:F10"/>
    <mergeCell ref="A5:F5"/>
    <mergeCell ref="A14:C14"/>
    <mergeCell ref="E9:F9"/>
    <mergeCell ref="D15:F15"/>
    <mergeCell ref="A12:B12"/>
    <mergeCell ref="E6:F6"/>
    <mergeCell ref="D14:F14"/>
    <mergeCell ref="C1:F1"/>
    <mergeCell ref="A15:C15"/>
    <mergeCell ref="E12:F12"/>
    <mergeCell ref="A11:B11"/>
    <mergeCell ref="A18:C18"/>
    <mergeCell ref="D17:F17"/>
    <mergeCell ref="A21:F21"/>
  </mergeCells>
  <pageMargins left="0.5" right="0.5" top="1" bottom="1" header="0.5" footer="0.5"/>
  <pageSetup paperSize="9" fitToHeight="0" orientation="portrait"/>
  <headerFooter>
    <oddFooter>&amp;LSM-03 | Crest Point Consulting Group&amp;CPage &amp;P of &amp;N&amp;RStrictly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F38"/>
  <sheetViews>
    <sheetView showGridLines="0" workbookViewId="0">
      <selection sqref="A1:B3"/>
    </sheetView>
  </sheetViews>
  <sheetFormatPr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7" t="s">
        <v>88</v>
      </c>
      <c r="B1" s="37"/>
      <c r="C1" s="44" t="s">
        <v>0</v>
      </c>
      <c r="D1" s="44"/>
      <c r="E1" s="44"/>
      <c r="F1" s="44"/>
    </row>
    <row r="2" spans="1:6" ht="22" customHeight="1" x14ac:dyDescent="0.55000000000000004">
      <c r="A2" s="37"/>
      <c r="B2" s="37"/>
      <c r="C2" s="45" t="s">
        <v>176</v>
      </c>
      <c r="D2" s="45"/>
      <c r="E2" s="45"/>
      <c r="F2" s="45"/>
    </row>
    <row r="3" spans="1:6" ht="22" customHeight="1" x14ac:dyDescent="0.55000000000000004">
      <c r="A3" s="37"/>
      <c r="B3" s="37"/>
      <c r="C3" s="40" t="s">
        <v>177</v>
      </c>
      <c r="D3" s="40"/>
      <c r="E3" s="40"/>
      <c r="F3" s="40"/>
    </row>
    <row r="5" spans="1:6" ht="20.05" customHeight="1" x14ac:dyDescent="0.55000000000000004">
      <c r="A5" s="30" t="s">
        <v>178</v>
      </c>
      <c r="B5" s="30"/>
      <c r="C5" s="11" t="s">
        <v>179</v>
      </c>
      <c r="D5" s="1" t="s">
        <v>180</v>
      </c>
      <c r="E5" s="36">
        <v>46301</v>
      </c>
      <c r="F5" s="36"/>
    </row>
    <row r="6" spans="1:6" ht="20.05" customHeight="1" x14ac:dyDescent="0.55000000000000004">
      <c r="A6" s="30" t="s">
        <v>156</v>
      </c>
      <c r="B6" s="30"/>
      <c r="C6" s="11" t="s">
        <v>132</v>
      </c>
      <c r="D6" s="1" t="s">
        <v>134</v>
      </c>
      <c r="E6" s="39" t="s">
        <v>93</v>
      </c>
      <c r="F6" s="39"/>
    </row>
    <row r="7" spans="1:6" ht="20.05" customHeight="1" x14ac:dyDescent="0.55000000000000004">
      <c r="A7" s="30" t="s">
        <v>95</v>
      </c>
      <c r="B7" s="30"/>
      <c r="C7" s="11" t="s">
        <v>96</v>
      </c>
      <c r="D7" s="1" t="s">
        <v>181</v>
      </c>
      <c r="E7" s="39" t="s">
        <v>182</v>
      </c>
      <c r="F7" s="39"/>
    </row>
    <row r="8" spans="1:6" ht="31" customHeight="1" x14ac:dyDescent="0.55000000000000004">
      <c r="A8" s="30" t="s">
        <v>183</v>
      </c>
      <c r="B8" s="30"/>
      <c r="C8" s="19">
        <v>5000</v>
      </c>
      <c r="D8" s="1" t="s">
        <v>184</v>
      </c>
      <c r="E8" s="46">
        <v>2500000</v>
      </c>
      <c r="F8" s="46"/>
    </row>
    <row r="10" spans="1:6" ht="18.55" customHeight="1" x14ac:dyDescent="0.55000000000000004">
      <c r="A10" s="35" t="s">
        <v>185</v>
      </c>
      <c r="B10" s="35"/>
      <c r="C10" s="35"/>
      <c r="D10" s="35"/>
      <c r="E10" s="35"/>
      <c r="F10" s="35"/>
    </row>
    <row r="11" spans="1:6" ht="18.55" customHeight="1" x14ac:dyDescent="0.55000000000000004">
      <c r="A11" s="7" t="s">
        <v>186</v>
      </c>
      <c r="B11" s="47" t="s">
        <v>187</v>
      </c>
      <c r="C11" s="47"/>
      <c r="D11" s="7" t="s">
        <v>188</v>
      </c>
      <c r="E11" s="7" t="s">
        <v>189</v>
      </c>
      <c r="F11" s="7" t="s">
        <v>190</v>
      </c>
    </row>
    <row r="12" spans="1:6" ht="24" customHeight="1" x14ac:dyDescent="0.55000000000000004">
      <c r="A12" s="8">
        <v>1</v>
      </c>
      <c r="B12" s="32" t="s">
        <v>191</v>
      </c>
      <c r="C12" s="32"/>
      <c r="D12" s="11" t="s">
        <v>158</v>
      </c>
      <c r="E12" s="14"/>
      <c r="F12" s="20">
        <v>2500000</v>
      </c>
    </row>
    <row r="13" spans="1:6" ht="24" customHeight="1" x14ac:dyDescent="0.55000000000000004">
      <c r="A13" s="8">
        <v>2</v>
      </c>
      <c r="B13" s="32" t="s">
        <v>192</v>
      </c>
      <c r="C13" s="32"/>
      <c r="D13" s="11" t="s">
        <v>161</v>
      </c>
      <c r="E13" s="14"/>
      <c r="F13" s="20">
        <v>2500000</v>
      </c>
    </row>
    <row r="14" spans="1:6" ht="24" customHeight="1" x14ac:dyDescent="0.55000000000000004">
      <c r="A14" s="8">
        <v>3</v>
      </c>
      <c r="B14" s="32" t="s">
        <v>193</v>
      </c>
      <c r="C14" s="32"/>
      <c r="D14" s="11" t="s">
        <v>132</v>
      </c>
      <c r="E14" s="14">
        <v>500</v>
      </c>
      <c r="F14" s="19">
        <f>E14*C8</f>
        <v>2500000</v>
      </c>
    </row>
    <row r="15" spans="1:6" ht="24" customHeight="1" x14ac:dyDescent="0.55000000000000004">
      <c r="A15" s="8">
        <v>4</v>
      </c>
      <c r="B15" s="32" t="s">
        <v>194</v>
      </c>
      <c r="C15" s="32"/>
      <c r="D15" s="11" t="s">
        <v>103</v>
      </c>
      <c r="E15" s="14">
        <v>500</v>
      </c>
      <c r="F15" s="19">
        <f>E15*C8</f>
        <v>2500000</v>
      </c>
    </row>
    <row r="17" spans="1:6" ht="18.55" customHeight="1" x14ac:dyDescent="0.55000000000000004">
      <c r="A17" s="35" t="s">
        <v>195</v>
      </c>
      <c r="B17" s="35"/>
      <c r="C17" s="35"/>
      <c r="D17" s="35"/>
      <c r="E17" s="35"/>
      <c r="F17" s="35"/>
    </row>
    <row r="18" spans="1:6" ht="18.55" customHeight="1" x14ac:dyDescent="0.55000000000000004">
      <c r="A18" s="21" t="s">
        <v>186</v>
      </c>
      <c r="B18" s="30" t="s">
        <v>196</v>
      </c>
      <c r="C18" s="30"/>
      <c r="D18" s="30"/>
      <c r="E18" s="21" t="s">
        <v>117</v>
      </c>
      <c r="F18" s="1" t="s">
        <v>197</v>
      </c>
    </row>
    <row r="19" spans="1:6" ht="30" customHeight="1" x14ac:dyDescent="0.55000000000000004">
      <c r="A19" s="8">
        <v>1</v>
      </c>
      <c r="B19" s="32" t="s">
        <v>198</v>
      </c>
      <c r="C19" s="32"/>
      <c r="D19" s="32"/>
      <c r="E19" s="4" t="str">
        <f>IF(F12=F13,"Yes","No")</f>
        <v>Yes</v>
      </c>
      <c r="F19" s="13"/>
    </row>
    <row r="20" spans="1:6" ht="30" customHeight="1" x14ac:dyDescent="0.55000000000000004">
      <c r="A20" s="8">
        <v>2</v>
      </c>
      <c r="B20" s="32" t="s">
        <v>199</v>
      </c>
      <c r="C20" s="32"/>
      <c r="D20" s="32"/>
      <c r="E20" s="4" t="str">
        <f>IF(F13=F14,"Yes","No")</f>
        <v>Yes</v>
      </c>
      <c r="F20" s="13"/>
    </row>
    <row r="21" spans="1:6" ht="31" customHeight="1" x14ac:dyDescent="0.55000000000000004">
      <c r="A21" s="8">
        <v>3</v>
      </c>
      <c r="B21" s="32" t="s">
        <v>200</v>
      </c>
      <c r="C21" s="32"/>
      <c r="D21" s="32"/>
      <c r="E21" s="4" t="str">
        <f>IF(AND(E15=E14,ROUND(F13/C8,3)=E15),"Yes","No")</f>
        <v>Yes</v>
      </c>
      <c r="F21" s="13"/>
    </row>
    <row r="22" spans="1:6" ht="30" customHeight="1" x14ac:dyDescent="0.55000000000000004">
      <c r="A22" s="8">
        <v>4</v>
      </c>
      <c r="B22" s="32" t="s">
        <v>201</v>
      </c>
      <c r="C22" s="32"/>
      <c r="D22" s="32"/>
      <c r="E22" s="4" t="str">
        <f>IF(E8=F13,"Yes","No")</f>
        <v>Yes</v>
      </c>
      <c r="F22" s="13"/>
    </row>
    <row r="23" spans="1:6" ht="22" customHeight="1" x14ac:dyDescent="0.55000000000000004">
      <c r="A23" s="30" t="s">
        <v>202</v>
      </c>
      <c r="B23" s="30"/>
      <c r="C23" s="39" t="str">
        <f>IF(COUNTBLANK(E19:E22)&gt;0,"INCOMPLETE",IF(COUNTIF(E19:E22,"No")&gt;0,"REJECT","VERIFY"))</f>
        <v>VERIFY</v>
      </c>
      <c r="D23" s="39"/>
      <c r="E23" s="39"/>
      <c r="F23" s="39"/>
    </row>
    <row r="24" spans="1:6" ht="31" customHeight="1" x14ac:dyDescent="0.55000000000000004">
      <c r="A24" s="30" t="s">
        <v>203</v>
      </c>
      <c r="B24" s="30"/>
      <c r="C24" s="13" t="s">
        <v>204</v>
      </c>
      <c r="D24" s="1" t="s">
        <v>205</v>
      </c>
      <c r="E24" s="36">
        <v>46301</v>
      </c>
      <c r="F24" s="36"/>
    </row>
    <row r="25" spans="1:6" ht="34" customHeight="1" x14ac:dyDescent="0.55000000000000004">
      <c r="A25" s="30" t="s">
        <v>206</v>
      </c>
      <c r="B25" s="30"/>
      <c r="C25" s="38"/>
      <c r="D25" s="38"/>
      <c r="E25" s="38"/>
      <c r="F25" s="38"/>
    </row>
    <row r="26" spans="1:6" ht="44.05" customHeight="1" x14ac:dyDescent="0.55000000000000004">
      <c r="A26" s="30" t="s">
        <v>207</v>
      </c>
      <c r="B26" s="30"/>
      <c r="C26" s="39" t="s">
        <v>208</v>
      </c>
      <c r="D26" s="39"/>
      <c r="E26" s="39"/>
      <c r="F26" s="39"/>
    </row>
    <row r="27" spans="1:6" ht="24" customHeight="1" x14ac:dyDescent="0.55000000000000004">
      <c r="A27" s="30" t="s">
        <v>209</v>
      </c>
      <c r="B27" s="30"/>
      <c r="C27" s="39" t="s">
        <v>210</v>
      </c>
      <c r="D27" s="39"/>
      <c r="E27" s="39"/>
      <c r="F27" s="39"/>
    </row>
    <row r="29" spans="1:6" ht="31" customHeight="1" x14ac:dyDescent="0.55000000000000004">
      <c r="A29" s="43" t="s">
        <v>211</v>
      </c>
      <c r="B29" s="43"/>
      <c r="C29" s="43"/>
      <c r="D29" s="16" t="s">
        <v>172</v>
      </c>
      <c r="E29" s="43" t="s">
        <v>212</v>
      </c>
      <c r="F29" s="43"/>
    </row>
    <row r="30" spans="1:6" ht="20.05" customHeight="1" x14ac:dyDescent="0.55000000000000004">
      <c r="A30" s="32" t="s">
        <v>120</v>
      </c>
      <c r="B30" s="32"/>
      <c r="C30" s="32"/>
      <c r="D30" s="3" t="s">
        <v>120</v>
      </c>
      <c r="E30" s="32" t="s">
        <v>120</v>
      </c>
      <c r="F30" s="32"/>
    </row>
    <row r="31" spans="1:6" ht="20.05" customHeight="1" x14ac:dyDescent="0.55000000000000004">
      <c r="A31" s="32" t="s">
        <v>121</v>
      </c>
      <c r="B31" s="32"/>
      <c r="C31" s="32"/>
      <c r="D31" s="3" t="s">
        <v>121</v>
      </c>
      <c r="E31" s="32" t="s">
        <v>121</v>
      </c>
      <c r="F31" s="32"/>
    </row>
    <row r="32" spans="1:6" ht="44.05" customHeight="1" x14ac:dyDescent="0.55000000000000004">
      <c r="A32" s="41" t="s">
        <v>122</v>
      </c>
      <c r="B32" s="41"/>
      <c r="C32" s="41"/>
      <c r="D32" s="17" t="s">
        <v>122</v>
      </c>
      <c r="E32" s="41" t="s">
        <v>122</v>
      </c>
      <c r="F32" s="41"/>
    </row>
    <row r="33" spans="1:6" ht="20.05" customHeight="1" x14ac:dyDescent="0.55000000000000004">
      <c r="A33" s="32" t="s">
        <v>123</v>
      </c>
      <c r="B33" s="32"/>
      <c r="C33" s="32"/>
      <c r="D33" s="3" t="s">
        <v>123</v>
      </c>
      <c r="E33" s="32" t="s">
        <v>123</v>
      </c>
      <c r="F33" s="32"/>
    </row>
    <row r="35" spans="1:6" ht="18.55" customHeight="1" x14ac:dyDescent="0.55000000000000004">
      <c r="A35" s="30" t="s">
        <v>124</v>
      </c>
      <c r="B35" s="30"/>
      <c r="C35" s="30"/>
      <c r="D35" s="30"/>
      <c r="E35" s="30"/>
      <c r="F35" s="30"/>
    </row>
    <row r="36" spans="1:6" ht="31" customHeight="1" x14ac:dyDescent="0.55000000000000004">
      <c r="A36" s="31" t="s">
        <v>213</v>
      </c>
      <c r="B36" s="31"/>
      <c r="C36" s="31"/>
      <c r="D36" s="31"/>
      <c r="E36" s="31"/>
      <c r="F36" s="31"/>
    </row>
    <row r="37" spans="1:6" ht="30" customHeight="1" x14ac:dyDescent="0.55000000000000004">
      <c r="A37" s="31" t="s">
        <v>214</v>
      </c>
      <c r="B37" s="31"/>
      <c r="C37" s="31"/>
      <c r="D37" s="31"/>
      <c r="E37" s="31"/>
      <c r="F37" s="31"/>
    </row>
    <row r="38" spans="1:6" ht="31" customHeight="1" x14ac:dyDescent="0.55000000000000004">
      <c r="A38" s="31" t="s">
        <v>175</v>
      </c>
      <c r="B38" s="31"/>
      <c r="C38" s="31"/>
      <c r="D38" s="31"/>
      <c r="E38" s="31"/>
      <c r="F38" s="31"/>
    </row>
  </sheetData>
  <mergeCells count="48">
    <mergeCell ref="B18:D18"/>
    <mergeCell ref="B21:D21"/>
    <mergeCell ref="C27:F27"/>
    <mergeCell ref="C2:F2"/>
    <mergeCell ref="A38:F38"/>
    <mergeCell ref="A26:B26"/>
    <mergeCell ref="E6:F6"/>
    <mergeCell ref="A10:F10"/>
    <mergeCell ref="E30:F30"/>
    <mergeCell ref="C26:F26"/>
    <mergeCell ref="A31:C31"/>
    <mergeCell ref="A30:C30"/>
    <mergeCell ref="C25:F25"/>
    <mergeCell ref="A23:B23"/>
    <mergeCell ref="A8:B8"/>
    <mergeCell ref="B15:C15"/>
    <mergeCell ref="E32:F32"/>
    <mergeCell ref="E7:F7"/>
    <mergeCell ref="A36:F36"/>
    <mergeCell ref="B22:D22"/>
    <mergeCell ref="B19:D19"/>
    <mergeCell ref="C3:F3"/>
    <mergeCell ref="A33:C33"/>
    <mergeCell ref="A7:B7"/>
    <mergeCell ref="B11:C11"/>
    <mergeCell ref="A25:B25"/>
    <mergeCell ref="A32:C32"/>
    <mergeCell ref="E29:F29"/>
    <mergeCell ref="B14:C14"/>
    <mergeCell ref="A17:F17"/>
    <mergeCell ref="A29:C29"/>
    <mergeCell ref="A27:B27"/>
    <mergeCell ref="E31:F31"/>
    <mergeCell ref="B20:D20"/>
    <mergeCell ref="B13:C13"/>
    <mergeCell ref="A5:B5"/>
    <mergeCell ref="E5:F5"/>
    <mergeCell ref="A1:B3"/>
    <mergeCell ref="E8:F8"/>
    <mergeCell ref="A6:B6"/>
    <mergeCell ref="B12:C12"/>
    <mergeCell ref="C1:F1"/>
    <mergeCell ref="A24:B24"/>
    <mergeCell ref="C23:F23"/>
    <mergeCell ref="E24:F24"/>
    <mergeCell ref="E33:F33"/>
    <mergeCell ref="A37:F37"/>
    <mergeCell ref="A35:F35"/>
  </mergeCells>
  <dataValidations count="1">
    <dataValidation type="list" allowBlank="1" sqref="C24" xr:uid="{00000000-0002-0000-0400-000000000000}">
      <formula1>"Verified,Rejected"</formula1>
    </dataValidation>
  </dataValidations>
  <pageMargins left="0.5" right="0.5" top="1" bottom="1" header="0.5" footer="0.5"/>
  <pageSetup paperSize="9" fitToHeight="0" orientation="portrait"/>
  <headerFooter>
    <oddFooter>&amp;LSM-04 | Crest Point Consulting Group&amp;CPage &amp;P of &amp;N&amp;RStrictly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F28"/>
  <sheetViews>
    <sheetView showGridLines="0" workbookViewId="0">
      <selection sqref="A1:B3"/>
    </sheetView>
  </sheetViews>
  <sheetFormatPr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7" t="s">
        <v>88</v>
      </c>
      <c r="B1" s="37"/>
      <c r="C1" s="44" t="s">
        <v>0</v>
      </c>
      <c r="D1" s="44"/>
      <c r="E1" s="44"/>
      <c r="F1" s="44"/>
    </row>
    <row r="2" spans="1:6" ht="22" customHeight="1" x14ac:dyDescent="0.55000000000000004">
      <c r="A2" s="37"/>
      <c r="B2" s="37"/>
      <c r="C2" s="45" t="s">
        <v>215</v>
      </c>
      <c r="D2" s="45"/>
      <c r="E2" s="45"/>
      <c r="F2" s="45"/>
    </row>
    <row r="3" spans="1:6" ht="31" customHeight="1" x14ac:dyDescent="0.55000000000000004">
      <c r="A3" s="37"/>
      <c r="B3" s="37"/>
      <c r="C3" s="40" t="s">
        <v>216</v>
      </c>
      <c r="D3" s="40"/>
      <c r="E3" s="40"/>
      <c r="F3" s="40"/>
    </row>
    <row r="5" spans="1:6" ht="18.55" customHeight="1" x14ac:dyDescent="0.55000000000000004">
      <c r="A5" s="35" t="s">
        <v>217</v>
      </c>
      <c r="B5" s="35"/>
      <c r="C5" s="35"/>
      <c r="D5" s="35"/>
      <c r="E5" s="35"/>
      <c r="F5" s="35"/>
    </row>
    <row r="6" spans="1:6" ht="31" customHeight="1" x14ac:dyDescent="0.55000000000000004">
      <c r="A6" s="30" t="s">
        <v>218</v>
      </c>
      <c r="B6" s="30"/>
      <c r="C6" s="11" t="s">
        <v>219</v>
      </c>
      <c r="D6" s="1" t="s">
        <v>220</v>
      </c>
      <c r="E6" s="36">
        <v>46301</v>
      </c>
      <c r="F6" s="36"/>
    </row>
    <row r="7" spans="1:6" ht="20.05" customHeight="1" x14ac:dyDescent="0.55000000000000004">
      <c r="A7" s="30" t="s">
        <v>95</v>
      </c>
      <c r="B7" s="30"/>
      <c r="C7" s="11" t="s">
        <v>96</v>
      </c>
      <c r="D7" s="1" t="s">
        <v>156</v>
      </c>
      <c r="E7" s="39" t="s">
        <v>132</v>
      </c>
      <c r="F7" s="39"/>
    </row>
    <row r="8" spans="1:6" ht="31" customHeight="1" x14ac:dyDescent="0.55000000000000004">
      <c r="A8" s="30" t="s">
        <v>221</v>
      </c>
      <c r="B8" s="30"/>
      <c r="C8" s="18">
        <v>500</v>
      </c>
      <c r="D8" s="1" t="s">
        <v>222</v>
      </c>
      <c r="E8" s="46">
        <v>5000</v>
      </c>
      <c r="F8" s="46"/>
    </row>
    <row r="9" spans="1:6" ht="32.049999999999997" customHeight="1" x14ac:dyDescent="0.55000000000000004">
      <c r="A9" s="30" t="s">
        <v>223</v>
      </c>
      <c r="B9" s="30"/>
      <c r="C9" s="19">
        <v>2500000</v>
      </c>
      <c r="D9" s="1" t="s">
        <v>100</v>
      </c>
      <c r="E9" s="39" t="s">
        <v>101</v>
      </c>
      <c r="F9" s="39"/>
    </row>
    <row r="10" spans="1:6" ht="32.049999999999997" customHeight="1" x14ac:dyDescent="0.55000000000000004">
      <c r="A10" s="30" t="s">
        <v>143</v>
      </c>
      <c r="B10" s="30"/>
      <c r="C10" s="11" t="s">
        <v>103</v>
      </c>
      <c r="D10" s="1" t="s">
        <v>224</v>
      </c>
      <c r="E10" s="39" t="s">
        <v>179</v>
      </c>
      <c r="F10" s="39"/>
    </row>
    <row r="11" spans="1:6" ht="43.5" customHeight="1" x14ac:dyDescent="0.55000000000000004">
      <c r="A11" s="30" t="s">
        <v>225</v>
      </c>
      <c r="B11" s="30"/>
      <c r="C11" s="15">
        <v>46387</v>
      </c>
      <c r="D11" s="1" t="s">
        <v>226</v>
      </c>
      <c r="E11" s="39" t="s">
        <v>227</v>
      </c>
      <c r="F11" s="39"/>
    </row>
    <row r="13" spans="1:6" ht="18.55" customHeight="1" x14ac:dyDescent="0.55000000000000004">
      <c r="A13" s="35" t="s">
        <v>228</v>
      </c>
      <c r="B13" s="35"/>
      <c r="C13" s="35"/>
      <c r="D13" s="35"/>
      <c r="E13" s="35"/>
      <c r="F13" s="35"/>
    </row>
    <row r="14" spans="1:6" ht="31" customHeight="1" x14ac:dyDescent="0.55000000000000004">
      <c r="A14" s="30" t="s">
        <v>221</v>
      </c>
      <c r="B14" s="30"/>
      <c r="C14" s="18">
        <f>C8</f>
        <v>500</v>
      </c>
      <c r="D14" s="1" t="s">
        <v>229</v>
      </c>
      <c r="E14" s="48">
        <f>'SM-06 Dispatch Tracking'!$D$23</f>
        <v>150</v>
      </c>
      <c r="F14" s="48"/>
    </row>
    <row r="15" spans="1:6" ht="31" customHeight="1" x14ac:dyDescent="0.55000000000000004">
      <c r="A15" s="30" t="s">
        <v>230</v>
      </c>
      <c r="B15" s="30"/>
      <c r="C15" s="18">
        <f>'SM-06 Dispatch Tracking'!$D$24</f>
        <v>350</v>
      </c>
      <c r="D15" s="1" t="s">
        <v>231</v>
      </c>
      <c r="E15" s="39">
        <f>'SM-06 Dispatch Tracking'!$D$25</f>
        <v>3</v>
      </c>
      <c r="F15" s="39"/>
    </row>
    <row r="16" spans="1:6" ht="31" customHeight="1" x14ac:dyDescent="0.55000000000000004">
      <c r="A16" s="30" t="s">
        <v>232</v>
      </c>
      <c r="B16" s="30"/>
      <c r="C16" s="39" t="str">
        <f>'SM-06 Dispatch Tracking'!$D$26</f>
        <v>Partially Fulfilled</v>
      </c>
      <c r="D16" s="39"/>
      <c r="E16" s="39"/>
      <c r="F16" s="39"/>
    </row>
    <row r="18" spans="1:6" ht="31" customHeight="1" x14ac:dyDescent="0.55000000000000004">
      <c r="A18" s="43" t="s">
        <v>233</v>
      </c>
      <c r="B18" s="43"/>
      <c r="C18" s="43"/>
      <c r="D18" s="16" t="s">
        <v>234</v>
      </c>
      <c r="E18" s="43" t="s">
        <v>235</v>
      </c>
      <c r="F18" s="43"/>
    </row>
    <row r="19" spans="1:6" ht="20.05" customHeight="1" x14ac:dyDescent="0.55000000000000004">
      <c r="A19" s="32" t="s">
        <v>120</v>
      </c>
      <c r="B19" s="32"/>
      <c r="C19" s="32"/>
      <c r="D19" s="3" t="s">
        <v>120</v>
      </c>
      <c r="E19" s="32" t="s">
        <v>120</v>
      </c>
      <c r="F19" s="32"/>
    </row>
    <row r="20" spans="1:6" ht="20.05" customHeight="1" x14ac:dyDescent="0.55000000000000004">
      <c r="A20" s="32" t="s">
        <v>121</v>
      </c>
      <c r="B20" s="32"/>
      <c r="C20" s="32"/>
      <c r="D20" s="3" t="s">
        <v>121</v>
      </c>
      <c r="E20" s="32" t="s">
        <v>121</v>
      </c>
      <c r="F20" s="32"/>
    </row>
    <row r="21" spans="1:6" ht="44.05" customHeight="1" x14ac:dyDescent="0.55000000000000004">
      <c r="A21" s="41" t="s">
        <v>122</v>
      </c>
      <c r="B21" s="41"/>
      <c r="C21" s="41"/>
      <c r="D21" s="17" t="s">
        <v>122</v>
      </c>
      <c r="E21" s="41" t="s">
        <v>122</v>
      </c>
      <c r="F21" s="41"/>
    </row>
    <row r="22" spans="1:6" ht="20.05" customHeight="1" x14ac:dyDescent="0.55000000000000004">
      <c r="A22" s="32" t="s">
        <v>123</v>
      </c>
      <c r="B22" s="32"/>
      <c r="C22" s="32"/>
      <c r="D22" s="3" t="s">
        <v>123</v>
      </c>
      <c r="E22" s="32" t="s">
        <v>123</v>
      </c>
      <c r="F22" s="32"/>
    </row>
    <row r="24" spans="1:6" ht="18.55" customHeight="1" x14ac:dyDescent="0.55000000000000004">
      <c r="A24" s="30" t="s">
        <v>124</v>
      </c>
      <c r="B24" s="30"/>
      <c r="C24" s="30"/>
      <c r="D24" s="30"/>
      <c r="E24" s="30"/>
      <c r="F24" s="30"/>
    </row>
    <row r="25" spans="1:6" ht="43.5" customHeight="1" x14ac:dyDescent="0.55000000000000004">
      <c r="A25" s="31" t="s">
        <v>236</v>
      </c>
      <c r="B25" s="31"/>
      <c r="C25" s="31"/>
      <c r="D25" s="31"/>
      <c r="E25" s="31"/>
      <c r="F25" s="31"/>
    </row>
    <row r="26" spans="1:6" ht="34" customHeight="1" x14ac:dyDescent="0.55000000000000004">
      <c r="A26" s="31" t="s">
        <v>237</v>
      </c>
      <c r="B26" s="31"/>
      <c r="C26" s="31"/>
      <c r="D26" s="31"/>
      <c r="E26" s="31"/>
      <c r="F26" s="31"/>
    </row>
    <row r="27" spans="1:6" ht="34" customHeight="1" x14ac:dyDescent="0.55000000000000004">
      <c r="A27" s="31" t="s">
        <v>238</v>
      </c>
      <c r="B27" s="31"/>
      <c r="C27" s="31"/>
      <c r="D27" s="31"/>
      <c r="E27" s="31"/>
      <c r="F27" s="31"/>
    </row>
    <row r="28" spans="1:6" ht="43.5" customHeight="1" x14ac:dyDescent="0.55000000000000004">
      <c r="A28" s="31" t="s">
        <v>239</v>
      </c>
      <c r="B28" s="31"/>
      <c r="C28" s="31"/>
      <c r="D28" s="31"/>
      <c r="E28" s="31"/>
      <c r="F28" s="31"/>
    </row>
  </sheetData>
  <mergeCells count="39">
    <mergeCell ref="A28:F28"/>
    <mergeCell ref="A13:F13"/>
    <mergeCell ref="E15:F15"/>
    <mergeCell ref="E11:F11"/>
    <mergeCell ref="C16:F16"/>
    <mergeCell ref="A14:B14"/>
    <mergeCell ref="A24:F24"/>
    <mergeCell ref="E22:F22"/>
    <mergeCell ref="E18:F18"/>
    <mergeCell ref="E21:F21"/>
    <mergeCell ref="A1:B3"/>
    <mergeCell ref="E8:F8"/>
    <mergeCell ref="A6:B6"/>
    <mergeCell ref="A16:B16"/>
    <mergeCell ref="C3:F3"/>
    <mergeCell ref="A7:B7"/>
    <mergeCell ref="E10:F10"/>
    <mergeCell ref="A5:F5"/>
    <mergeCell ref="E9:F9"/>
    <mergeCell ref="E6:F6"/>
    <mergeCell ref="C1:F1"/>
    <mergeCell ref="A8:B8"/>
    <mergeCell ref="E7:F7"/>
    <mergeCell ref="A10:B10"/>
    <mergeCell ref="A9:B9"/>
    <mergeCell ref="C2:F2"/>
    <mergeCell ref="A15:B15"/>
    <mergeCell ref="A11:B11"/>
    <mergeCell ref="A27:F27"/>
    <mergeCell ref="A18:C18"/>
    <mergeCell ref="E14:F14"/>
    <mergeCell ref="A21:C21"/>
    <mergeCell ref="A26:F26"/>
    <mergeCell ref="E20:F20"/>
    <mergeCell ref="E19:F19"/>
    <mergeCell ref="A22:C22"/>
    <mergeCell ref="A25:F25"/>
    <mergeCell ref="A20:C20"/>
    <mergeCell ref="A19:C19"/>
  </mergeCells>
  <pageMargins left="0.5" right="0.5" top="1" bottom="1" header="0.5" footer="0.5"/>
  <pageSetup paperSize="9" fitToHeight="0" orientation="portrait"/>
  <headerFooter>
    <oddFooter>&amp;LSM-05 | Crest Point Consulting Group&amp;CPage &amp;P of &amp;N&amp;RStrictly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H31"/>
  <sheetViews>
    <sheetView showGridLines="0" workbookViewId="0">
      <selection sqref="A1:B3"/>
    </sheetView>
  </sheetViews>
  <sheetFormatPr defaultRowHeight="14.4" x14ac:dyDescent="0.55000000000000004"/>
  <cols>
    <col min="1" max="1" width="6" customWidth="1"/>
    <col min="2" max="2" width="22" customWidth="1"/>
    <col min="3" max="3" width="26" customWidth="1"/>
    <col min="4" max="4" width="16" customWidth="1"/>
    <col min="5" max="6" width="18" customWidth="1"/>
    <col min="7" max="7" width="22" customWidth="1"/>
    <col min="8" max="8" width="18" customWidth="1"/>
  </cols>
  <sheetData>
    <row r="1" spans="1:8" ht="43.5" customHeight="1" x14ac:dyDescent="0.55000000000000004">
      <c r="A1" s="37" t="s">
        <v>88</v>
      </c>
      <c r="B1" s="37"/>
      <c r="C1" s="44" t="s">
        <v>0</v>
      </c>
      <c r="D1" s="44"/>
      <c r="E1" s="44"/>
      <c r="F1" s="44"/>
      <c r="G1" s="44"/>
      <c r="H1" s="44"/>
    </row>
    <row r="2" spans="1:8" ht="22" customHeight="1" x14ac:dyDescent="0.55000000000000004">
      <c r="A2" s="37"/>
      <c r="B2" s="37"/>
      <c r="C2" s="45" t="s">
        <v>240</v>
      </c>
      <c r="D2" s="45"/>
      <c r="E2" s="45"/>
      <c r="F2" s="45"/>
      <c r="G2" s="45"/>
      <c r="H2" s="45"/>
    </row>
    <row r="3" spans="1:8" ht="22" customHeight="1" x14ac:dyDescent="0.55000000000000004">
      <c r="A3" s="37"/>
      <c r="B3" s="37"/>
      <c r="C3" s="40" t="s">
        <v>241</v>
      </c>
      <c r="D3" s="40"/>
      <c r="E3" s="40"/>
      <c r="F3" s="40"/>
      <c r="G3" s="40"/>
      <c r="H3" s="40"/>
    </row>
    <row r="5" spans="1:8" ht="20.05" customHeight="1" x14ac:dyDescent="0.55000000000000004">
      <c r="A5" s="30" t="s">
        <v>242</v>
      </c>
      <c r="B5" s="30"/>
      <c r="C5" s="39" t="s">
        <v>219</v>
      </c>
      <c r="D5" s="39"/>
      <c r="E5" s="30" t="s">
        <v>243</v>
      </c>
      <c r="F5" s="30"/>
      <c r="G5" s="39" t="s">
        <v>96</v>
      </c>
      <c r="H5" s="39"/>
    </row>
    <row r="6" spans="1:8" ht="31" customHeight="1" x14ac:dyDescent="0.55000000000000004">
      <c r="A6" s="30" t="s">
        <v>221</v>
      </c>
      <c r="B6" s="30"/>
      <c r="C6" s="48">
        <v>500</v>
      </c>
      <c r="D6" s="48"/>
      <c r="E6" s="30" t="s">
        <v>244</v>
      </c>
      <c r="F6" s="30"/>
      <c r="G6" s="46">
        <v>5000</v>
      </c>
      <c r="H6" s="46"/>
    </row>
    <row r="7" spans="1:8" ht="20.05" customHeight="1" x14ac:dyDescent="0.55000000000000004">
      <c r="A7" s="30" t="s">
        <v>245</v>
      </c>
      <c r="B7" s="30"/>
      <c r="C7" s="36">
        <v>46387</v>
      </c>
      <c r="D7" s="36"/>
      <c r="E7" s="30" t="s">
        <v>246</v>
      </c>
      <c r="F7" s="30"/>
      <c r="G7" s="42">
        <v>46309</v>
      </c>
      <c r="H7" s="42"/>
    </row>
    <row r="9" spans="1:8" ht="44.05" customHeight="1" x14ac:dyDescent="0.55000000000000004">
      <c r="A9" s="7" t="s">
        <v>186</v>
      </c>
      <c r="B9" s="7" t="s">
        <v>247</v>
      </c>
      <c r="C9" s="7" t="s">
        <v>248</v>
      </c>
      <c r="D9" s="7" t="s">
        <v>249</v>
      </c>
      <c r="E9" s="7" t="s">
        <v>250</v>
      </c>
      <c r="F9" s="7" t="s">
        <v>251</v>
      </c>
      <c r="G9" s="7" t="s">
        <v>252</v>
      </c>
      <c r="H9" s="7" t="s">
        <v>253</v>
      </c>
    </row>
    <row r="10" spans="1:8" ht="31" customHeight="1" x14ac:dyDescent="0.55000000000000004">
      <c r="A10" s="8">
        <v>1</v>
      </c>
      <c r="B10" s="22">
        <v>46302.420138888891</v>
      </c>
      <c r="C10" s="11" t="s">
        <v>101</v>
      </c>
      <c r="D10" s="18">
        <v>50</v>
      </c>
      <c r="E10" s="18">
        <f>IF(D10="","",SUM($D$10:D10))</f>
        <v>50</v>
      </c>
      <c r="F10" s="18">
        <f t="shared" ref="F10:F21" si="0">IF(D10="","",$C$6-E10)</f>
        <v>450</v>
      </c>
      <c r="G10" s="11" t="s">
        <v>254</v>
      </c>
      <c r="H10" s="19">
        <f t="shared" ref="H10:H21" si="1">IF(D10="","",D10*$G$6)</f>
        <v>250000</v>
      </c>
    </row>
    <row r="11" spans="1:8" ht="31" customHeight="1" x14ac:dyDescent="0.55000000000000004">
      <c r="A11" s="8">
        <v>2</v>
      </c>
      <c r="B11" s="22">
        <v>46303.569444444453</v>
      </c>
      <c r="C11" s="11" t="s">
        <v>101</v>
      </c>
      <c r="D11" s="18">
        <v>70</v>
      </c>
      <c r="E11" s="18">
        <f>IF(D11="","",SUM($D$10:D11))</f>
        <v>120</v>
      </c>
      <c r="F11" s="18">
        <f t="shared" si="0"/>
        <v>380</v>
      </c>
      <c r="G11" s="11" t="s">
        <v>255</v>
      </c>
      <c r="H11" s="19">
        <f t="shared" si="1"/>
        <v>350000</v>
      </c>
    </row>
    <row r="12" spans="1:8" ht="31" customHeight="1" x14ac:dyDescent="0.55000000000000004">
      <c r="A12" s="8">
        <v>3</v>
      </c>
      <c r="B12" s="22">
        <v>46305.607638888891</v>
      </c>
      <c r="C12" s="11" t="s">
        <v>101</v>
      </c>
      <c r="D12" s="18">
        <v>30</v>
      </c>
      <c r="E12" s="18">
        <f>IF(D12="","",SUM($D$10:D12))</f>
        <v>150</v>
      </c>
      <c r="F12" s="18">
        <f t="shared" si="0"/>
        <v>350</v>
      </c>
      <c r="G12" s="11" t="s">
        <v>256</v>
      </c>
      <c r="H12" s="19">
        <f t="shared" si="1"/>
        <v>150000</v>
      </c>
    </row>
    <row r="13" spans="1:8" ht="20.05" customHeight="1" x14ac:dyDescent="0.55000000000000004">
      <c r="A13" s="8">
        <v>4</v>
      </c>
      <c r="B13" s="3"/>
      <c r="C13" s="3"/>
      <c r="D13" s="23"/>
      <c r="E13" s="18" t="str">
        <f>IF(D13="","",SUM($D$10:D13))</f>
        <v/>
      </c>
      <c r="F13" s="18" t="str">
        <f t="shared" si="0"/>
        <v/>
      </c>
      <c r="G13" s="3"/>
      <c r="H13" s="19" t="str">
        <f t="shared" si="1"/>
        <v/>
      </c>
    </row>
    <row r="14" spans="1:8" ht="20.05" customHeight="1" x14ac:dyDescent="0.55000000000000004">
      <c r="A14" s="8">
        <v>5</v>
      </c>
      <c r="B14" s="3"/>
      <c r="C14" s="3"/>
      <c r="D14" s="23"/>
      <c r="E14" s="18" t="str">
        <f>IF(D14="","",SUM($D$10:D14))</f>
        <v/>
      </c>
      <c r="F14" s="18" t="str">
        <f t="shared" si="0"/>
        <v/>
      </c>
      <c r="G14" s="3"/>
      <c r="H14" s="19" t="str">
        <f t="shared" si="1"/>
        <v/>
      </c>
    </row>
    <row r="15" spans="1:8" ht="20.05" customHeight="1" x14ac:dyDescent="0.55000000000000004">
      <c r="A15" s="8">
        <v>6</v>
      </c>
      <c r="B15" s="3"/>
      <c r="C15" s="3"/>
      <c r="D15" s="23"/>
      <c r="E15" s="18" t="str">
        <f>IF(D15="","",SUM($D$10:D15))</f>
        <v/>
      </c>
      <c r="F15" s="18" t="str">
        <f t="shared" si="0"/>
        <v/>
      </c>
      <c r="G15" s="3"/>
      <c r="H15" s="19" t="str">
        <f t="shared" si="1"/>
        <v/>
      </c>
    </row>
    <row r="16" spans="1:8" ht="20.05" customHeight="1" x14ac:dyDescent="0.55000000000000004">
      <c r="A16" s="8">
        <v>7</v>
      </c>
      <c r="B16" s="3"/>
      <c r="C16" s="3"/>
      <c r="D16" s="23"/>
      <c r="E16" s="18" t="str">
        <f>IF(D16="","",SUM($D$10:D16))</f>
        <v/>
      </c>
      <c r="F16" s="18" t="str">
        <f t="shared" si="0"/>
        <v/>
      </c>
      <c r="G16" s="3"/>
      <c r="H16" s="19" t="str">
        <f t="shared" si="1"/>
        <v/>
      </c>
    </row>
    <row r="17" spans="1:8" ht="20.05" customHeight="1" x14ac:dyDescent="0.55000000000000004">
      <c r="A17" s="8">
        <v>8</v>
      </c>
      <c r="B17" s="3"/>
      <c r="C17" s="3"/>
      <c r="D17" s="23"/>
      <c r="E17" s="18" t="str">
        <f>IF(D17="","",SUM($D$10:D17))</f>
        <v/>
      </c>
      <c r="F17" s="18" t="str">
        <f t="shared" si="0"/>
        <v/>
      </c>
      <c r="G17" s="3"/>
      <c r="H17" s="19" t="str">
        <f t="shared" si="1"/>
        <v/>
      </c>
    </row>
    <row r="18" spans="1:8" ht="20.05" customHeight="1" x14ac:dyDescent="0.55000000000000004">
      <c r="A18" s="8">
        <v>9</v>
      </c>
      <c r="B18" s="3"/>
      <c r="C18" s="3"/>
      <c r="D18" s="23"/>
      <c r="E18" s="18" t="str">
        <f>IF(D18="","",SUM($D$10:D18))</f>
        <v/>
      </c>
      <c r="F18" s="18" t="str">
        <f t="shared" si="0"/>
        <v/>
      </c>
      <c r="G18" s="3"/>
      <c r="H18" s="19" t="str">
        <f t="shared" si="1"/>
        <v/>
      </c>
    </row>
    <row r="19" spans="1:8" ht="20.05" customHeight="1" x14ac:dyDescent="0.55000000000000004">
      <c r="A19" s="8">
        <v>10</v>
      </c>
      <c r="B19" s="3"/>
      <c r="C19" s="3"/>
      <c r="D19" s="23"/>
      <c r="E19" s="18" t="str">
        <f>IF(D19="","",SUM($D$10:D19))</f>
        <v/>
      </c>
      <c r="F19" s="18" t="str">
        <f t="shared" si="0"/>
        <v/>
      </c>
      <c r="G19" s="3"/>
      <c r="H19" s="19" t="str">
        <f t="shared" si="1"/>
        <v/>
      </c>
    </row>
    <row r="20" spans="1:8" ht="20.05" customHeight="1" x14ac:dyDescent="0.55000000000000004">
      <c r="A20" s="8">
        <v>11</v>
      </c>
      <c r="B20" s="3"/>
      <c r="C20" s="3"/>
      <c r="D20" s="23"/>
      <c r="E20" s="18" t="str">
        <f>IF(D20="","",SUM($D$10:D20))</f>
        <v/>
      </c>
      <c r="F20" s="18" t="str">
        <f t="shared" si="0"/>
        <v/>
      </c>
      <c r="G20" s="3"/>
      <c r="H20" s="19" t="str">
        <f t="shared" si="1"/>
        <v/>
      </c>
    </row>
    <row r="21" spans="1:8" ht="20.05" customHeight="1" x14ac:dyDescent="0.55000000000000004">
      <c r="A21" s="8">
        <v>12</v>
      </c>
      <c r="B21" s="3"/>
      <c r="C21" s="3"/>
      <c r="D21" s="23"/>
      <c r="E21" s="18" t="str">
        <f>IF(D21="","",SUM($D$10:D21))</f>
        <v/>
      </c>
      <c r="F21" s="18" t="str">
        <f t="shared" si="0"/>
        <v/>
      </c>
      <c r="G21" s="3"/>
      <c r="H21" s="19" t="str">
        <f t="shared" si="1"/>
        <v/>
      </c>
    </row>
    <row r="22" spans="1:8" ht="18.55" customHeight="1" x14ac:dyDescent="0.55000000000000004">
      <c r="A22" s="35" t="s">
        <v>257</v>
      </c>
      <c r="B22" s="35"/>
      <c r="C22" s="35"/>
    </row>
    <row r="23" spans="1:8" ht="18.55" customHeight="1" x14ac:dyDescent="0.55000000000000004">
      <c r="A23" s="30" t="s">
        <v>229</v>
      </c>
      <c r="B23" s="30"/>
      <c r="C23" s="30"/>
      <c r="D23" s="18">
        <f>SUM(D10:D21)</f>
        <v>150</v>
      </c>
    </row>
    <row r="24" spans="1:8" ht="18.55" customHeight="1" x14ac:dyDescent="0.55000000000000004">
      <c r="A24" s="30" t="s">
        <v>230</v>
      </c>
      <c r="B24" s="30"/>
      <c r="C24" s="30"/>
      <c r="D24" s="18">
        <f>C6-D23</f>
        <v>350</v>
      </c>
    </row>
    <row r="25" spans="1:8" ht="18.55" customHeight="1" x14ac:dyDescent="0.55000000000000004">
      <c r="A25" s="30" t="s">
        <v>231</v>
      </c>
      <c r="B25" s="30"/>
      <c r="C25" s="30"/>
      <c r="D25" s="11">
        <f>COUNT(D10:D21)</f>
        <v>3</v>
      </c>
    </row>
    <row r="26" spans="1:8" ht="18.55" customHeight="1" x14ac:dyDescent="0.55000000000000004">
      <c r="A26" s="30" t="s">
        <v>258</v>
      </c>
      <c r="B26" s="30"/>
      <c r="C26" s="30"/>
      <c r="D26" s="24" t="str">
        <f>IF(D23&gt;=C6,"Fully Fulfilled",IF(AND(C7&lt;&gt;"",G7&gt;C7),"Expired",IF(D23=0,"Open","Partially Fulfilled")))</f>
        <v>Partially Fulfilled</v>
      </c>
    </row>
    <row r="27" spans="1:8" ht="18.55" customHeight="1" x14ac:dyDescent="0.55000000000000004">
      <c r="A27" s="30" t="s">
        <v>259</v>
      </c>
      <c r="B27" s="30"/>
      <c r="C27" s="30"/>
      <c r="D27" s="19">
        <f>SUM(H10:H21)</f>
        <v>750000</v>
      </c>
    </row>
    <row r="29" spans="1:8" ht="18.55" customHeight="1" x14ac:dyDescent="0.55000000000000004">
      <c r="A29" s="30" t="s">
        <v>124</v>
      </c>
      <c r="B29" s="30"/>
      <c r="C29" s="30"/>
      <c r="D29" s="30"/>
      <c r="E29" s="30"/>
      <c r="F29" s="30"/>
      <c r="G29" s="30"/>
      <c r="H29" s="30"/>
    </row>
    <row r="30" spans="1:8" ht="34" customHeight="1" x14ac:dyDescent="0.55000000000000004">
      <c r="A30" s="31" t="s">
        <v>260</v>
      </c>
      <c r="B30" s="31"/>
      <c r="C30" s="31"/>
      <c r="D30" s="31"/>
      <c r="E30" s="31"/>
      <c r="F30" s="31"/>
      <c r="G30" s="31"/>
      <c r="H30" s="31"/>
    </row>
    <row r="31" spans="1:8" ht="34" customHeight="1" x14ac:dyDescent="0.55000000000000004">
      <c r="A31" s="31" t="s">
        <v>261</v>
      </c>
      <c r="B31" s="31"/>
      <c r="C31" s="31"/>
      <c r="D31" s="31"/>
      <c r="E31" s="31"/>
      <c r="F31" s="31"/>
      <c r="G31" s="31"/>
      <c r="H31" s="31"/>
    </row>
  </sheetData>
  <mergeCells count="25">
    <mergeCell ref="A31:H31"/>
    <mergeCell ref="C1:H1"/>
    <mergeCell ref="A1:B3"/>
    <mergeCell ref="A6:B6"/>
    <mergeCell ref="A26:C26"/>
    <mergeCell ref="C2:H2"/>
    <mergeCell ref="A7:B7"/>
    <mergeCell ref="G7:H7"/>
    <mergeCell ref="A23:C23"/>
    <mergeCell ref="A22:C22"/>
    <mergeCell ref="G6:H6"/>
    <mergeCell ref="E6:F6"/>
    <mergeCell ref="A5:B5"/>
    <mergeCell ref="G5:H5"/>
    <mergeCell ref="C3:H3"/>
    <mergeCell ref="A24:C24"/>
    <mergeCell ref="C7:D7"/>
    <mergeCell ref="E7:F7"/>
    <mergeCell ref="A25:C25"/>
    <mergeCell ref="A30:H30"/>
    <mergeCell ref="C6:D6"/>
    <mergeCell ref="C5:D5"/>
    <mergeCell ref="E5:F5"/>
    <mergeCell ref="A27:C27"/>
    <mergeCell ref="A29:H29"/>
  </mergeCells>
  <pageMargins left="0.5" right="0.5" top="1" bottom="1" header="0.5" footer="0.5"/>
  <pageSetup paperSize="9" fitToHeight="0" orientation="landscape"/>
  <headerFooter>
    <oddFooter>&amp;LSM-06 | Crest Point Consulting Group&amp;CPage &amp;P of &amp;N&amp;RStrictly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F27"/>
  <sheetViews>
    <sheetView showGridLines="0" workbookViewId="0">
      <selection sqref="A1:B3"/>
    </sheetView>
  </sheetViews>
  <sheetFormatPr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7" t="s">
        <v>88</v>
      </c>
      <c r="B1" s="37"/>
      <c r="C1" s="44" t="s">
        <v>0</v>
      </c>
      <c r="D1" s="44"/>
      <c r="E1" s="44"/>
      <c r="F1" s="44"/>
    </row>
    <row r="2" spans="1:6" ht="22" customHeight="1" x14ac:dyDescent="0.55000000000000004">
      <c r="A2" s="37"/>
      <c r="B2" s="37"/>
      <c r="C2" s="45" t="s">
        <v>262</v>
      </c>
      <c r="D2" s="45"/>
      <c r="E2" s="45"/>
      <c r="F2" s="45"/>
    </row>
    <row r="3" spans="1:6" ht="31" customHeight="1" x14ac:dyDescent="0.55000000000000004">
      <c r="A3" s="37"/>
      <c r="B3" s="37"/>
      <c r="C3" s="40" t="s">
        <v>263</v>
      </c>
      <c r="D3" s="40"/>
      <c r="E3" s="40"/>
      <c r="F3" s="40"/>
    </row>
    <row r="5" spans="1:6" ht="18.55" customHeight="1" x14ac:dyDescent="0.55000000000000004">
      <c r="A5" s="35" t="s">
        <v>264</v>
      </c>
      <c r="B5" s="35"/>
      <c r="C5" s="35"/>
      <c r="D5" s="35"/>
      <c r="E5" s="35"/>
      <c r="F5" s="35"/>
    </row>
    <row r="6" spans="1:6" ht="20.05" customHeight="1" x14ac:dyDescent="0.55000000000000004">
      <c r="A6" s="30" t="s">
        <v>265</v>
      </c>
      <c r="B6" s="30"/>
      <c r="C6" s="11" t="s">
        <v>256</v>
      </c>
      <c r="D6" s="1" t="s">
        <v>266</v>
      </c>
      <c r="E6" s="39" t="s">
        <v>101</v>
      </c>
      <c r="F6" s="39"/>
    </row>
    <row r="7" spans="1:6" ht="20.05" customHeight="1" x14ac:dyDescent="0.55000000000000004">
      <c r="A7" s="30" t="s">
        <v>95</v>
      </c>
      <c r="B7" s="30"/>
      <c r="C7" s="11" t="s">
        <v>96</v>
      </c>
      <c r="D7" s="1" t="s">
        <v>267</v>
      </c>
      <c r="E7" s="39" t="s">
        <v>219</v>
      </c>
      <c r="F7" s="39"/>
    </row>
    <row r="8" spans="1:6" ht="31" customHeight="1" x14ac:dyDescent="0.55000000000000004">
      <c r="A8" s="30" t="s">
        <v>268</v>
      </c>
      <c r="B8" s="30"/>
      <c r="C8" s="18">
        <v>30</v>
      </c>
      <c r="D8" s="1" t="s">
        <v>269</v>
      </c>
      <c r="E8" s="48">
        <v>150</v>
      </c>
      <c r="F8" s="48"/>
    </row>
    <row r="9" spans="1:6" ht="43.5" customHeight="1" x14ac:dyDescent="0.55000000000000004">
      <c r="A9" s="30" t="s">
        <v>270</v>
      </c>
      <c r="B9" s="30"/>
      <c r="C9" s="18">
        <v>350</v>
      </c>
      <c r="D9" s="1" t="s">
        <v>271</v>
      </c>
      <c r="E9" s="49">
        <v>46305.607638888891</v>
      </c>
      <c r="F9" s="49"/>
    </row>
    <row r="10" spans="1:6" ht="20.05" customHeight="1" x14ac:dyDescent="0.55000000000000004">
      <c r="A10" s="30" t="s">
        <v>272</v>
      </c>
      <c r="B10" s="30"/>
      <c r="C10" s="13" t="s">
        <v>273</v>
      </c>
      <c r="D10" s="1" t="s">
        <v>274</v>
      </c>
      <c r="E10" s="49">
        <v>46305.75</v>
      </c>
      <c r="F10" s="49"/>
    </row>
    <row r="12" spans="1:6" ht="18.55" customHeight="1" x14ac:dyDescent="0.55000000000000004">
      <c r="A12" s="35" t="s">
        <v>275</v>
      </c>
      <c r="B12" s="35"/>
      <c r="C12" s="35"/>
      <c r="D12" s="35"/>
      <c r="E12" s="35"/>
      <c r="F12" s="35"/>
    </row>
    <row r="13" spans="1:6" ht="31" customHeight="1" x14ac:dyDescent="0.55000000000000004">
      <c r="A13" s="30" t="s">
        <v>276</v>
      </c>
      <c r="B13" s="30"/>
      <c r="C13" s="19">
        <v>5000</v>
      </c>
      <c r="D13" s="1" t="s">
        <v>277</v>
      </c>
      <c r="E13" s="48">
        <v>500</v>
      </c>
      <c r="F13" s="48"/>
    </row>
    <row r="14" spans="1:6" ht="34" customHeight="1" x14ac:dyDescent="0.55000000000000004">
      <c r="A14" s="30" t="s">
        <v>278</v>
      </c>
      <c r="B14" s="30"/>
      <c r="C14" s="39" t="s">
        <v>279</v>
      </c>
      <c r="D14" s="39"/>
      <c r="E14" s="39"/>
      <c r="F14" s="39"/>
    </row>
    <row r="15" spans="1:6" ht="24" customHeight="1" x14ac:dyDescent="0.55000000000000004">
      <c r="A15" s="30" t="s">
        <v>280</v>
      </c>
      <c r="B15" s="30"/>
      <c r="C15" s="39" t="s">
        <v>281</v>
      </c>
      <c r="D15" s="39"/>
      <c r="E15" s="1" t="s">
        <v>190</v>
      </c>
      <c r="F15" s="19">
        <f>C8*C13</f>
        <v>150000</v>
      </c>
    </row>
    <row r="16" spans="1:6" ht="44.05" customHeight="1" x14ac:dyDescent="0.55000000000000004">
      <c r="A16" s="30" t="s">
        <v>282</v>
      </c>
      <c r="B16" s="30"/>
      <c r="C16" s="39" t="s">
        <v>283</v>
      </c>
      <c r="D16" s="39"/>
      <c r="E16" s="39"/>
      <c r="F16" s="39"/>
    </row>
    <row r="18" spans="1:6" ht="18.55" customHeight="1" x14ac:dyDescent="0.55000000000000004">
      <c r="A18" s="35" t="s">
        <v>284</v>
      </c>
      <c r="B18" s="35"/>
      <c r="C18" s="35"/>
      <c r="D18" s="35"/>
      <c r="E18" s="35"/>
      <c r="F18" s="35"/>
    </row>
    <row r="19" spans="1:6" ht="31" customHeight="1" x14ac:dyDescent="0.55000000000000004">
      <c r="A19" s="30" t="s">
        <v>285</v>
      </c>
      <c r="B19" s="30"/>
      <c r="C19" s="18">
        <v>120</v>
      </c>
      <c r="D19" s="1" t="s">
        <v>286</v>
      </c>
      <c r="E19" s="48">
        <f>C19+C8</f>
        <v>150</v>
      </c>
      <c r="F19" s="48"/>
    </row>
    <row r="20" spans="1:6" ht="31" customHeight="1" x14ac:dyDescent="0.55000000000000004">
      <c r="A20" s="30" t="s">
        <v>287</v>
      </c>
      <c r="B20" s="30"/>
      <c r="C20" s="11" t="str">
        <f>IF(E19=E8,"Yes","NO - investigate")</f>
        <v>Yes</v>
      </c>
      <c r="D20" s="1" t="s">
        <v>288</v>
      </c>
      <c r="E20" s="39" t="str">
        <f>IF(E13-E19=C9,"Yes","NO - investigate")</f>
        <v>Yes</v>
      </c>
      <c r="F20" s="39"/>
    </row>
    <row r="21" spans="1:6" ht="31" customHeight="1" x14ac:dyDescent="0.55000000000000004">
      <c r="A21" s="30" t="s">
        <v>289</v>
      </c>
      <c r="B21" s="30"/>
      <c r="C21" s="11" t="s">
        <v>290</v>
      </c>
      <c r="D21" s="1" t="s">
        <v>291</v>
      </c>
      <c r="E21" s="39" t="str">
        <f>IF(C19+C8&gt;E13,"YES - behaviour not specified","No")</f>
        <v>No</v>
      </c>
      <c r="F21" s="39"/>
    </row>
    <row r="23" spans="1:6" ht="18.55" customHeight="1" x14ac:dyDescent="0.55000000000000004">
      <c r="A23" s="30" t="s">
        <v>124</v>
      </c>
      <c r="B23" s="30"/>
      <c r="C23" s="30"/>
      <c r="D23" s="30"/>
      <c r="E23" s="30"/>
      <c r="F23" s="30"/>
    </row>
    <row r="24" spans="1:6" ht="34" customHeight="1" x14ac:dyDescent="0.55000000000000004">
      <c r="A24" s="31" t="s">
        <v>292</v>
      </c>
      <c r="B24" s="31"/>
      <c r="C24" s="31"/>
      <c r="D24" s="31"/>
      <c r="E24" s="31"/>
      <c r="F24" s="31"/>
    </row>
    <row r="25" spans="1:6" ht="34" customHeight="1" x14ac:dyDescent="0.55000000000000004">
      <c r="A25" s="31" t="s">
        <v>293</v>
      </c>
      <c r="B25" s="31"/>
      <c r="C25" s="31"/>
      <c r="D25" s="31"/>
      <c r="E25" s="31"/>
      <c r="F25" s="31"/>
    </row>
    <row r="26" spans="1:6" ht="34" customHeight="1" x14ac:dyDescent="0.55000000000000004">
      <c r="A26" s="31" t="s">
        <v>294</v>
      </c>
      <c r="B26" s="31"/>
      <c r="C26" s="31"/>
      <c r="D26" s="31"/>
      <c r="E26" s="31"/>
      <c r="F26" s="31"/>
    </row>
    <row r="27" spans="1:6" ht="34" customHeight="1" x14ac:dyDescent="0.55000000000000004">
      <c r="A27" s="31" t="s">
        <v>295</v>
      </c>
      <c r="B27" s="31"/>
      <c r="C27" s="31"/>
      <c r="D27" s="31"/>
      <c r="E27" s="31"/>
      <c r="F27" s="31"/>
    </row>
  </sheetData>
  <mergeCells count="36">
    <mergeCell ref="C2:F2"/>
    <mergeCell ref="E21:F21"/>
    <mergeCell ref="E7:F7"/>
    <mergeCell ref="A19:B19"/>
    <mergeCell ref="A10:B10"/>
    <mergeCell ref="A13:B13"/>
    <mergeCell ref="A9:B9"/>
    <mergeCell ref="A1:B3"/>
    <mergeCell ref="E8:F8"/>
    <mergeCell ref="A6:B6"/>
    <mergeCell ref="A16:B16"/>
    <mergeCell ref="C3:F3"/>
    <mergeCell ref="A7:B7"/>
    <mergeCell ref="E10:F10"/>
    <mergeCell ref="A5:F5"/>
    <mergeCell ref="E13:F13"/>
    <mergeCell ref="E9:F9"/>
    <mergeCell ref="C14:F14"/>
    <mergeCell ref="E6:F6"/>
    <mergeCell ref="C16:F16"/>
    <mergeCell ref="A14:B14"/>
    <mergeCell ref="C1:F1"/>
    <mergeCell ref="A8:B8"/>
    <mergeCell ref="A15:B15"/>
    <mergeCell ref="C15:D15"/>
    <mergeCell ref="A27:F27"/>
    <mergeCell ref="A12:F12"/>
    <mergeCell ref="A18:F18"/>
    <mergeCell ref="A26:F26"/>
    <mergeCell ref="E20:F20"/>
    <mergeCell ref="E19:F19"/>
    <mergeCell ref="A23:F23"/>
    <mergeCell ref="A25:F25"/>
    <mergeCell ref="A21:B21"/>
    <mergeCell ref="A24:F24"/>
    <mergeCell ref="A20:B20"/>
  </mergeCells>
  <dataValidations count="1">
    <dataValidation type="list" allowBlank="1" sqref="C10" xr:uid="{00000000-0002-0000-0700-000000000000}">
      <formula1>"Real-time,End-of-day synchronization"</formula1>
    </dataValidation>
  </dataValidations>
  <pageMargins left="0.5" right="0.5" top="1" bottom="1" header="0.5" footer="0.5"/>
  <pageSetup paperSize="9" fitToHeight="0" orientation="portrait"/>
  <headerFooter>
    <oddFooter>&amp;LSM-07 | Crest Point Consulting Group&amp;CPage &amp;P of &amp;N&amp;RStrictly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A1:F30"/>
  <sheetViews>
    <sheetView showGridLines="0" workbookViewId="0">
      <selection sqref="A1:B3"/>
    </sheetView>
  </sheetViews>
  <sheetFormatPr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7" t="s">
        <v>88</v>
      </c>
      <c r="B1" s="37"/>
      <c r="C1" s="44" t="s">
        <v>0</v>
      </c>
      <c r="D1" s="44"/>
      <c r="E1" s="44"/>
      <c r="F1" s="44"/>
    </row>
    <row r="2" spans="1:6" ht="22" customHeight="1" x14ac:dyDescent="0.55000000000000004">
      <c r="A2" s="37"/>
      <c r="B2" s="37"/>
      <c r="C2" s="45" t="s">
        <v>296</v>
      </c>
      <c r="D2" s="45"/>
      <c r="E2" s="45"/>
      <c r="F2" s="45"/>
    </row>
    <row r="3" spans="1:6" ht="31" customHeight="1" x14ac:dyDescent="0.55000000000000004">
      <c r="A3" s="37"/>
      <c r="B3" s="37"/>
      <c r="C3" s="40" t="s">
        <v>297</v>
      </c>
      <c r="D3" s="40"/>
      <c r="E3" s="40"/>
      <c r="F3" s="40"/>
    </row>
    <row r="5" spans="1:6" ht="18.55" customHeight="1" x14ac:dyDescent="0.55000000000000004">
      <c r="A5" s="35" t="s">
        <v>298</v>
      </c>
      <c r="B5" s="35"/>
      <c r="C5" s="35"/>
      <c r="D5" s="35"/>
      <c r="E5" s="35"/>
      <c r="F5" s="35"/>
    </row>
    <row r="6" spans="1:6" ht="20.05" customHeight="1" x14ac:dyDescent="0.55000000000000004">
      <c r="A6" s="30" t="s">
        <v>299</v>
      </c>
      <c r="B6" s="30"/>
      <c r="C6" s="11" t="s">
        <v>300</v>
      </c>
      <c r="D6" s="1" t="s">
        <v>301</v>
      </c>
      <c r="E6" s="38" t="s">
        <v>302</v>
      </c>
      <c r="F6" s="38"/>
    </row>
    <row r="7" spans="1:6" ht="31" customHeight="1" x14ac:dyDescent="0.55000000000000004">
      <c r="A7" s="30" t="s">
        <v>303</v>
      </c>
      <c r="B7" s="30"/>
      <c r="C7" s="11" t="s">
        <v>304</v>
      </c>
      <c r="D7" s="1" t="s">
        <v>305</v>
      </c>
      <c r="E7" s="42">
        <v>46304</v>
      </c>
      <c r="F7" s="42"/>
    </row>
    <row r="8" spans="1:6" ht="43.5" customHeight="1" x14ac:dyDescent="0.55000000000000004">
      <c r="A8" s="30" t="s">
        <v>306</v>
      </c>
      <c r="B8" s="30"/>
      <c r="C8" s="13" t="s">
        <v>307</v>
      </c>
      <c r="D8" s="1" t="s">
        <v>308</v>
      </c>
      <c r="E8" s="38" t="s">
        <v>309</v>
      </c>
      <c r="F8" s="38"/>
    </row>
    <row r="9" spans="1:6" ht="32.049999999999997" customHeight="1" x14ac:dyDescent="0.55000000000000004">
      <c r="A9" s="30" t="s">
        <v>310</v>
      </c>
      <c r="B9" s="30"/>
      <c r="C9" s="14">
        <v>3</v>
      </c>
      <c r="D9" s="1" t="s">
        <v>311</v>
      </c>
      <c r="E9" s="52">
        <v>5000</v>
      </c>
      <c r="F9" s="52"/>
    </row>
    <row r="10" spans="1:6" ht="20.05" customHeight="1" x14ac:dyDescent="0.55000000000000004">
      <c r="A10" s="30" t="s">
        <v>312</v>
      </c>
      <c r="B10" s="30"/>
      <c r="C10" s="19">
        <f>C9*E9</f>
        <v>15000</v>
      </c>
      <c r="D10" s="1" t="s">
        <v>313</v>
      </c>
      <c r="E10" s="39" t="s">
        <v>314</v>
      </c>
      <c r="F10" s="39"/>
    </row>
    <row r="12" spans="1:6" ht="30" customHeight="1" x14ac:dyDescent="0.55000000000000004">
      <c r="A12" s="7" t="s">
        <v>186</v>
      </c>
      <c r="B12" s="7" t="s">
        <v>315</v>
      </c>
      <c r="C12" s="7" t="s">
        <v>316</v>
      </c>
      <c r="D12" s="7" t="s">
        <v>317</v>
      </c>
      <c r="E12" s="7" t="s">
        <v>318</v>
      </c>
      <c r="F12" s="7" t="s">
        <v>319</v>
      </c>
    </row>
    <row r="13" spans="1:6" ht="18.55" customHeight="1" x14ac:dyDescent="0.55000000000000004">
      <c r="A13" s="8">
        <v>1</v>
      </c>
      <c r="B13" s="11">
        <v>1110</v>
      </c>
      <c r="C13" s="11" t="s">
        <v>320</v>
      </c>
      <c r="D13" s="11" t="s">
        <v>321</v>
      </c>
      <c r="E13" s="19">
        <v>15000</v>
      </c>
      <c r="F13" s="19"/>
    </row>
    <row r="14" spans="1:6" ht="18.55" customHeight="1" x14ac:dyDescent="0.55000000000000004">
      <c r="A14" s="8">
        <v>2</v>
      </c>
      <c r="B14" s="13">
        <v>4100</v>
      </c>
      <c r="C14" s="13" t="s">
        <v>322</v>
      </c>
      <c r="D14" s="13" t="s">
        <v>323</v>
      </c>
      <c r="E14" s="20"/>
      <c r="F14" s="20">
        <v>15000</v>
      </c>
    </row>
    <row r="15" spans="1:6" x14ac:dyDescent="0.55000000000000004">
      <c r="A15" s="8">
        <v>3</v>
      </c>
      <c r="B15" s="3"/>
      <c r="C15" s="3"/>
      <c r="D15" s="3"/>
      <c r="E15" s="25"/>
      <c r="F15" s="25"/>
    </row>
    <row r="16" spans="1:6" x14ac:dyDescent="0.55000000000000004">
      <c r="A16" s="8">
        <v>4</v>
      </c>
      <c r="B16" s="3"/>
      <c r="C16" s="3"/>
      <c r="D16" s="3"/>
      <c r="E16" s="25"/>
      <c r="F16" s="25"/>
    </row>
    <row r="17" spans="1:6" ht="18.55" customHeight="1" x14ac:dyDescent="0.55000000000000004">
      <c r="A17" s="50" t="s">
        <v>324</v>
      </c>
      <c r="B17" s="50"/>
      <c r="C17" s="50"/>
      <c r="D17" s="50"/>
      <c r="E17" s="26">
        <f>SUM(E13:E16)</f>
        <v>15000</v>
      </c>
      <c r="F17" s="26">
        <f>SUM(F13:F16)</f>
        <v>15000</v>
      </c>
    </row>
    <row r="18" spans="1:6" x14ac:dyDescent="0.55000000000000004">
      <c r="A18" s="51" t="str">
        <f>IF(AND(ROUND(E17-F17,2)=0,F17=C10),"BALANCED and agrees to quantity x unit price","CHECK - out of balance or differs from quantity x unit price")</f>
        <v>BALANCED and agrees to quantity x unit price</v>
      </c>
      <c r="B18" s="51"/>
      <c r="C18" s="51"/>
      <c r="D18" s="51"/>
      <c r="E18" s="51"/>
      <c r="F18" s="51"/>
    </row>
    <row r="20" spans="1:6" ht="31" customHeight="1" x14ac:dyDescent="0.55000000000000004">
      <c r="A20" s="43" t="s">
        <v>325</v>
      </c>
      <c r="B20" s="43"/>
      <c r="C20" s="43"/>
      <c r="D20" s="16" t="s">
        <v>172</v>
      </c>
      <c r="E20" s="43" t="s">
        <v>212</v>
      </c>
      <c r="F20" s="43"/>
    </row>
    <row r="21" spans="1:6" ht="20.05" customHeight="1" x14ac:dyDescent="0.55000000000000004">
      <c r="A21" s="32" t="s">
        <v>120</v>
      </c>
      <c r="B21" s="32"/>
      <c r="C21" s="32"/>
      <c r="D21" s="3" t="s">
        <v>120</v>
      </c>
      <c r="E21" s="32" t="s">
        <v>120</v>
      </c>
      <c r="F21" s="32"/>
    </row>
    <row r="22" spans="1:6" ht="20.05" customHeight="1" x14ac:dyDescent="0.55000000000000004">
      <c r="A22" s="32" t="s">
        <v>121</v>
      </c>
      <c r="B22" s="32"/>
      <c r="C22" s="32"/>
      <c r="D22" s="3" t="s">
        <v>121</v>
      </c>
      <c r="E22" s="32" t="s">
        <v>121</v>
      </c>
      <c r="F22" s="32"/>
    </row>
    <row r="23" spans="1:6" ht="44.05" customHeight="1" x14ac:dyDescent="0.55000000000000004">
      <c r="A23" s="41" t="s">
        <v>122</v>
      </c>
      <c r="B23" s="41"/>
      <c r="C23" s="41"/>
      <c r="D23" s="17" t="s">
        <v>122</v>
      </c>
      <c r="E23" s="41" t="s">
        <v>122</v>
      </c>
      <c r="F23" s="41"/>
    </row>
    <row r="24" spans="1:6" ht="20.05" customHeight="1" x14ac:dyDescent="0.55000000000000004">
      <c r="A24" s="32" t="s">
        <v>123</v>
      </c>
      <c r="B24" s="32"/>
      <c r="C24" s="32"/>
      <c r="D24" s="3" t="s">
        <v>123</v>
      </c>
      <c r="E24" s="32" t="s">
        <v>123</v>
      </c>
      <c r="F24" s="32"/>
    </row>
    <row r="26" spans="1:6" ht="18.55" customHeight="1" x14ac:dyDescent="0.55000000000000004">
      <c r="A26" s="30" t="s">
        <v>124</v>
      </c>
      <c r="B26" s="30"/>
      <c r="C26" s="30"/>
      <c r="D26" s="30"/>
      <c r="E26" s="30"/>
      <c r="F26" s="30"/>
    </row>
    <row r="27" spans="1:6" ht="43.5" customHeight="1" x14ac:dyDescent="0.55000000000000004">
      <c r="A27" s="31" t="s">
        <v>326</v>
      </c>
      <c r="B27" s="31"/>
      <c r="C27" s="31"/>
      <c r="D27" s="31"/>
      <c r="E27" s="31"/>
      <c r="F27" s="31"/>
    </row>
    <row r="28" spans="1:6" ht="34" customHeight="1" x14ac:dyDescent="0.55000000000000004">
      <c r="A28" s="31" t="s">
        <v>327</v>
      </c>
      <c r="B28" s="31"/>
      <c r="C28" s="31"/>
      <c r="D28" s="31"/>
      <c r="E28" s="31"/>
      <c r="F28" s="31"/>
    </row>
    <row r="29" spans="1:6" ht="34" customHeight="1" x14ac:dyDescent="0.55000000000000004">
      <c r="A29" s="31" t="s">
        <v>328</v>
      </c>
      <c r="B29" s="31"/>
      <c r="C29" s="31"/>
      <c r="D29" s="31"/>
      <c r="E29" s="31"/>
      <c r="F29" s="31"/>
    </row>
    <row r="30" spans="1:6" ht="43.5" customHeight="1" x14ac:dyDescent="0.55000000000000004">
      <c r="A30" s="31" t="s">
        <v>329</v>
      </c>
      <c r="B30" s="31"/>
      <c r="C30" s="31"/>
      <c r="D30" s="31"/>
      <c r="E30" s="31"/>
      <c r="F30" s="31"/>
    </row>
  </sheetData>
  <mergeCells count="32">
    <mergeCell ref="A29:F29"/>
    <mergeCell ref="E6:F6"/>
    <mergeCell ref="A28:F28"/>
    <mergeCell ref="C1:F1"/>
    <mergeCell ref="A30:F30"/>
    <mergeCell ref="A8:B8"/>
    <mergeCell ref="A24:C24"/>
    <mergeCell ref="E7:F7"/>
    <mergeCell ref="A10:B10"/>
    <mergeCell ref="E22:F22"/>
    <mergeCell ref="A9:B9"/>
    <mergeCell ref="C2:F2"/>
    <mergeCell ref="E21:F21"/>
    <mergeCell ref="A1:B3"/>
    <mergeCell ref="E8:F8"/>
    <mergeCell ref="A6:B6"/>
    <mergeCell ref="E20:F20"/>
    <mergeCell ref="C3:F3"/>
    <mergeCell ref="A7:B7"/>
    <mergeCell ref="E10:F10"/>
    <mergeCell ref="A5:F5"/>
    <mergeCell ref="E9:F9"/>
    <mergeCell ref="A20:C20"/>
    <mergeCell ref="A17:D17"/>
    <mergeCell ref="E24:F24"/>
    <mergeCell ref="A27:F27"/>
    <mergeCell ref="E23:F23"/>
    <mergeCell ref="A18:F18"/>
    <mergeCell ref="A21:C21"/>
    <mergeCell ref="A26:F26"/>
    <mergeCell ref="A23:C23"/>
    <mergeCell ref="A22:C22"/>
  </mergeCells>
  <dataValidations count="2">
    <dataValidation type="list" allowBlank="1" sqref="E6" xr:uid="{00000000-0002-0000-0800-000000000000}">
      <formula1>"Receipt Voucher (RV),Journal Voucher (JV)"</formula1>
    </dataValidation>
    <dataValidation type="list" allowBlank="1" sqref="E10" xr:uid="{00000000-0002-0000-0800-000001000000}">
      <formula1>"Pending,Verified,Rejected"</formula1>
    </dataValidation>
  </dataValidations>
  <pageMargins left="0.5" right="0.5" top="1" bottom="1" header="0.5" footer="0.5"/>
  <pageSetup paperSize="9" fitToHeight="0" orientation="portrait"/>
  <headerFooter>
    <oddFooter>&amp;LSM-08 | Crest Point Consulting Group&amp;CPage &amp;P of &amp;N&amp;RStrictly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pageSetUpPr fitToPage="1"/>
  </sheetPr>
  <dimension ref="A1:K22"/>
  <sheetViews>
    <sheetView showGridLines="0" workbookViewId="0">
      <selection sqref="A1:B3"/>
    </sheetView>
  </sheetViews>
  <sheetFormatPr defaultRowHeight="14.4" x14ac:dyDescent="0.55000000000000004"/>
  <cols>
    <col min="1" max="1" width="24" customWidth="1"/>
    <col min="2" max="4" width="12" customWidth="1"/>
    <col min="5" max="6" width="16" customWidth="1"/>
    <col min="7" max="9" width="13" customWidth="1"/>
    <col min="10" max="10" width="9" customWidth="1"/>
    <col min="11" max="11" width="18" customWidth="1"/>
  </cols>
  <sheetData>
    <row r="1" spans="1:11" ht="22" customHeight="1" x14ac:dyDescent="0.55000000000000004">
      <c r="A1" s="37" t="s">
        <v>88</v>
      </c>
      <c r="B1" s="37"/>
      <c r="C1" s="44" t="s">
        <v>0</v>
      </c>
      <c r="D1" s="44"/>
      <c r="E1" s="44"/>
      <c r="F1" s="44"/>
      <c r="G1" s="44"/>
      <c r="H1" s="44"/>
      <c r="I1" s="44"/>
      <c r="J1" s="44"/>
      <c r="K1" s="44"/>
    </row>
    <row r="2" spans="1:11" ht="22" customHeight="1" x14ac:dyDescent="0.55000000000000004">
      <c r="A2" s="37"/>
      <c r="B2" s="37"/>
      <c r="C2" s="45" t="s">
        <v>330</v>
      </c>
      <c r="D2" s="45"/>
      <c r="E2" s="45"/>
      <c r="F2" s="45"/>
      <c r="G2" s="45"/>
      <c r="H2" s="45"/>
      <c r="I2" s="45"/>
      <c r="J2" s="45"/>
      <c r="K2" s="45"/>
    </row>
    <row r="3" spans="1:11" ht="22" customHeight="1" x14ac:dyDescent="0.55000000000000004">
      <c r="A3" s="37"/>
      <c r="B3" s="37"/>
      <c r="C3" s="40" t="s">
        <v>331</v>
      </c>
      <c r="D3" s="40"/>
      <c r="E3" s="40"/>
      <c r="F3" s="40"/>
      <c r="G3" s="40"/>
      <c r="H3" s="40"/>
      <c r="I3" s="40"/>
      <c r="J3" s="40"/>
      <c r="K3" s="40"/>
    </row>
    <row r="5" spans="1:11" ht="18.55" customHeight="1" x14ac:dyDescent="0.55000000000000004">
      <c r="A5" s="30" t="s">
        <v>332</v>
      </c>
      <c r="B5" s="30"/>
      <c r="C5" s="38" t="s">
        <v>333</v>
      </c>
      <c r="D5" s="38"/>
      <c r="E5" s="38"/>
      <c r="F5" s="38"/>
      <c r="G5" s="30" t="s">
        <v>334</v>
      </c>
      <c r="H5" s="30"/>
      <c r="I5" s="39" t="s">
        <v>335</v>
      </c>
      <c r="J5" s="39"/>
      <c r="K5" s="39"/>
    </row>
    <row r="7" spans="1:11" ht="48" customHeight="1" x14ac:dyDescent="0.55000000000000004">
      <c r="A7" s="7" t="s">
        <v>243</v>
      </c>
      <c r="B7" s="7" t="s">
        <v>336</v>
      </c>
      <c r="C7" s="7" t="s">
        <v>337</v>
      </c>
      <c r="D7" s="7" t="s">
        <v>338</v>
      </c>
      <c r="E7" s="7" t="s">
        <v>311</v>
      </c>
      <c r="F7" s="7" t="s">
        <v>339</v>
      </c>
      <c r="G7" s="7" t="s">
        <v>340</v>
      </c>
      <c r="H7" s="7" t="s">
        <v>341</v>
      </c>
      <c r="I7" s="7" t="s">
        <v>251</v>
      </c>
      <c r="J7" s="7" t="s">
        <v>342</v>
      </c>
      <c r="K7" s="7" t="s">
        <v>144</v>
      </c>
    </row>
    <row r="8" spans="1:11" ht="31" customHeight="1" x14ac:dyDescent="0.55000000000000004">
      <c r="A8" s="13" t="s">
        <v>96</v>
      </c>
      <c r="B8" s="13" t="s">
        <v>93</v>
      </c>
      <c r="C8" s="13" t="s">
        <v>132</v>
      </c>
      <c r="D8" s="14">
        <v>500</v>
      </c>
      <c r="E8" s="20">
        <v>5000</v>
      </c>
      <c r="F8" s="20">
        <v>2500000</v>
      </c>
      <c r="G8" s="14">
        <v>500</v>
      </c>
      <c r="H8" s="14">
        <v>150</v>
      </c>
      <c r="I8" s="18">
        <f t="shared" ref="I8:I17" si="0">IF(A8="","",G8-H8)</f>
        <v>350</v>
      </c>
      <c r="J8" s="2">
        <v>3</v>
      </c>
      <c r="K8" s="13" t="s">
        <v>343</v>
      </c>
    </row>
    <row r="9" spans="1:11" ht="22" customHeight="1" x14ac:dyDescent="0.55000000000000004">
      <c r="A9" s="13" t="s">
        <v>344</v>
      </c>
      <c r="B9" s="13" t="s">
        <v>345</v>
      </c>
      <c r="C9" s="13" t="s">
        <v>346</v>
      </c>
      <c r="D9" s="14">
        <v>240</v>
      </c>
      <c r="E9" s="20">
        <v>5000</v>
      </c>
      <c r="F9" s="20">
        <v>1200000</v>
      </c>
      <c r="G9" s="14">
        <v>240</v>
      </c>
      <c r="H9" s="14">
        <v>0</v>
      </c>
      <c r="I9" s="18">
        <f t="shared" si="0"/>
        <v>240</v>
      </c>
      <c r="J9" s="2">
        <v>0</v>
      </c>
      <c r="K9" s="13" t="s">
        <v>227</v>
      </c>
    </row>
    <row r="10" spans="1:11" ht="22" customHeight="1" x14ac:dyDescent="0.55000000000000004">
      <c r="A10" s="13" t="s">
        <v>347</v>
      </c>
      <c r="B10" s="13" t="s">
        <v>348</v>
      </c>
      <c r="C10" s="13" t="s">
        <v>349</v>
      </c>
      <c r="D10" s="14">
        <v>100</v>
      </c>
      <c r="E10" s="20">
        <v>5000</v>
      </c>
      <c r="F10" s="20">
        <v>0</v>
      </c>
      <c r="G10" s="14">
        <v>0</v>
      </c>
      <c r="H10" s="14">
        <v>0</v>
      </c>
      <c r="I10" s="18">
        <f t="shared" si="0"/>
        <v>0</v>
      </c>
      <c r="J10" s="2">
        <v>0</v>
      </c>
      <c r="K10" s="13" t="s">
        <v>350</v>
      </c>
    </row>
    <row r="11" spans="1:11" ht="22" customHeight="1" x14ac:dyDescent="0.55000000000000004">
      <c r="A11" s="3"/>
      <c r="B11" s="3"/>
      <c r="C11" s="3"/>
      <c r="D11" s="23"/>
      <c r="E11" s="25"/>
      <c r="F11" s="25"/>
      <c r="G11" s="23"/>
      <c r="H11" s="23"/>
      <c r="I11" s="18" t="str">
        <f t="shared" si="0"/>
        <v/>
      </c>
      <c r="J11" s="8"/>
      <c r="K11" s="3"/>
    </row>
    <row r="12" spans="1:11" ht="22" customHeight="1" x14ac:dyDescent="0.55000000000000004">
      <c r="A12" s="3"/>
      <c r="B12" s="3"/>
      <c r="C12" s="3"/>
      <c r="D12" s="23"/>
      <c r="E12" s="25"/>
      <c r="F12" s="25"/>
      <c r="G12" s="23"/>
      <c r="H12" s="23"/>
      <c r="I12" s="18" t="str">
        <f t="shared" si="0"/>
        <v/>
      </c>
      <c r="J12" s="8"/>
      <c r="K12" s="3"/>
    </row>
    <row r="13" spans="1:11" ht="22" customHeight="1" x14ac:dyDescent="0.55000000000000004">
      <c r="A13" s="3"/>
      <c r="B13" s="3"/>
      <c r="C13" s="3"/>
      <c r="D13" s="23"/>
      <c r="E13" s="25"/>
      <c r="F13" s="25"/>
      <c r="G13" s="23"/>
      <c r="H13" s="23"/>
      <c r="I13" s="18" t="str">
        <f t="shared" si="0"/>
        <v/>
      </c>
      <c r="J13" s="8"/>
      <c r="K13" s="3"/>
    </row>
    <row r="14" spans="1:11" ht="22" customHeight="1" x14ac:dyDescent="0.55000000000000004">
      <c r="A14" s="3"/>
      <c r="B14" s="3"/>
      <c r="C14" s="3"/>
      <c r="D14" s="23"/>
      <c r="E14" s="25"/>
      <c r="F14" s="25"/>
      <c r="G14" s="23"/>
      <c r="H14" s="23"/>
      <c r="I14" s="18" t="str">
        <f t="shared" si="0"/>
        <v/>
      </c>
      <c r="J14" s="8"/>
      <c r="K14" s="3"/>
    </row>
    <row r="15" spans="1:11" ht="22" customHeight="1" x14ac:dyDescent="0.55000000000000004">
      <c r="A15" s="3"/>
      <c r="B15" s="3"/>
      <c r="C15" s="3"/>
      <c r="D15" s="23"/>
      <c r="E15" s="25"/>
      <c r="F15" s="25"/>
      <c r="G15" s="23"/>
      <c r="H15" s="23"/>
      <c r="I15" s="18" t="str">
        <f t="shared" si="0"/>
        <v/>
      </c>
      <c r="J15" s="8"/>
      <c r="K15" s="3"/>
    </row>
    <row r="16" spans="1:11" ht="22" customHeight="1" x14ac:dyDescent="0.55000000000000004">
      <c r="A16" s="3"/>
      <c r="B16" s="3"/>
      <c r="C16" s="3"/>
      <c r="D16" s="23"/>
      <c r="E16" s="25"/>
      <c r="F16" s="25"/>
      <c r="G16" s="23"/>
      <c r="H16" s="23"/>
      <c r="I16" s="18" t="str">
        <f t="shared" si="0"/>
        <v/>
      </c>
      <c r="J16" s="8"/>
      <c r="K16" s="3"/>
    </row>
    <row r="17" spans="1:11" ht="22" customHeight="1" x14ac:dyDescent="0.55000000000000004">
      <c r="A17" s="3"/>
      <c r="B17" s="3"/>
      <c r="C17" s="3"/>
      <c r="D17" s="23"/>
      <c r="E17" s="25"/>
      <c r="F17" s="25"/>
      <c r="G17" s="23"/>
      <c r="H17" s="23"/>
      <c r="I17" s="18" t="str">
        <f t="shared" si="0"/>
        <v/>
      </c>
      <c r="J17" s="8"/>
      <c r="K17" s="3"/>
    </row>
    <row r="18" spans="1:11" ht="18.55" customHeight="1" x14ac:dyDescent="0.55000000000000004">
      <c r="A18" s="50" t="s">
        <v>324</v>
      </c>
      <c r="B18" s="50"/>
      <c r="C18" s="50"/>
      <c r="D18" s="27">
        <f>SUM(D8:D17)</f>
        <v>840</v>
      </c>
      <c r="E18" s="28"/>
      <c r="F18" s="26">
        <f>SUM(F8:F17)</f>
        <v>3700000</v>
      </c>
      <c r="G18" s="27">
        <f>SUM(G8:G17)</f>
        <v>740</v>
      </c>
      <c r="H18" s="27">
        <f>SUM(H8:H17)</f>
        <v>150</v>
      </c>
      <c r="I18" s="27">
        <f>SUM(I8:I17)</f>
        <v>590</v>
      </c>
      <c r="J18" s="28"/>
      <c r="K18" s="28"/>
    </row>
    <row r="20" spans="1:11" ht="18.55" customHeight="1" x14ac:dyDescent="0.55000000000000004">
      <c r="A20" s="30" t="s">
        <v>124</v>
      </c>
      <c r="B20" s="30"/>
      <c r="C20" s="30"/>
      <c r="D20" s="30"/>
      <c r="E20" s="30"/>
      <c r="F20" s="30"/>
      <c r="G20" s="30"/>
      <c r="H20" s="30"/>
      <c r="I20" s="30"/>
      <c r="J20" s="30"/>
      <c r="K20" s="30"/>
    </row>
    <row r="21" spans="1:11" ht="31" customHeight="1" x14ac:dyDescent="0.55000000000000004">
      <c r="A21" s="31" t="s">
        <v>351</v>
      </c>
      <c r="B21" s="31"/>
      <c r="C21" s="31"/>
      <c r="D21" s="31"/>
      <c r="E21" s="31"/>
      <c r="F21" s="31"/>
      <c r="G21" s="31"/>
      <c r="H21" s="31"/>
      <c r="I21" s="31"/>
      <c r="J21" s="31"/>
      <c r="K21" s="31"/>
    </row>
    <row r="22" spans="1:11" ht="31" customHeight="1" x14ac:dyDescent="0.55000000000000004">
      <c r="A22" s="31" t="s">
        <v>352</v>
      </c>
      <c r="B22" s="31"/>
      <c r="C22" s="31"/>
      <c r="D22" s="31"/>
      <c r="E22" s="31"/>
      <c r="F22" s="31"/>
      <c r="G22" s="31"/>
      <c r="H22" s="31"/>
      <c r="I22" s="31"/>
      <c r="J22" s="31"/>
      <c r="K22" s="31"/>
    </row>
  </sheetData>
  <mergeCells count="12">
    <mergeCell ref="C2:K2"/>
    <mergeCell ref="A22:K22"/>
    <mergeCell ref="C1:K1"/>
    <mergeCell ref="A20:K20"/>
    <mergeCell ref="A21:K21"/>
    <mergeCell ref="I5:K5"/>
    <mergeCell ref="A5:B5"/>
    <mergeCell ref="G5:H5"/>
    <mergeCell ref="A18:C18"/>
    <mergeCell ref="C3:K3"/>
    <mergeCell ref="C5:F5"/>
    <mergeCell ref="A1:B3"/>
  </mergeCells>
  <pageMargins left="0.5" right="0.5" top="1" bottom="1" header="0.5" footer="0.5"/>
  <pageSetup paperSize="9" fitToHeight="0" orientation="landscape"/>
  <headerFooter>
    <oddFooter>&amp;LSM-09 | Crest Point Consulting Group&amp;CPage &amp;P of &amp;N&amp;RStrictly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F7F7F"/>
    <pageSetUpPr fitToPage="1"/>
  </sheetPr>
  <dimension ref="A1:G18"/>
  <sheetViews>
    <sheetView showGridLines="0" workbookViewId="0">
      <pane ySplit="6" topLeftCell="A7" activePane="bottomLeft" state="frozen"/>
      <selection pane="bottomLeft" sqref="A1:B3"/>
    </sheetView>
  </sheetViews>
  <sheetFormatPr defaultRowHeight="14.4" x14ac:dyDescent="0.55000000000000004"/>
  <cols>
    <col min="1" max="1" width="12" customWidth="1"/>
    <col min="2" max="2" width="34" customWidth="1"/>
    <col min="3" max="3" width="26" customWidth="1"/>
    <col min="4" max="4" width="18" customWidth="1"/>
    <col min="5" max="5" width="40" customWidth="1"/>
    <col min="6" max="6" width="10" customWidth="1"/>
    <col min="7" max="7" width="16" customWidth="1"/>
  </cols>
  <sheetData>
    <row r="1" spans="1:7" ht="31" customHeight="1" x14ac:dyDescent="0.55000000000000004">
      <c r="A1" s="37" t="s">
        <v>88</v>
      </c>
      <c r="B1" s="37"/>
      <c r="C1" s="44" t="s">
        <v>0</v>
      </c>
      <c r="D1" s="44"/>
      <c r="E1" s="44"/>
      <c r="F1" s="44"/>
      <c r="G1" s="44"/>
    </row>
    <row r="2" spans="1:7" ht="22" customHeight="1" x14ac:dyDescent="0.55000000000000004">
      <c r="A2" s="37"/>
      <c r="B2" s="37"/>
      <c r="C2" s="45" t="s">
        <v>353</v>
      </c>
      <c r="D2" s="45"/>
      <c r="E2" s="45"/>
      <c r="F2" s="45"/>
      <c r="G2" s="45"/>
    </row>
    <row r="3" spans="1:7" ht="22" customHeight="1" x14ac:dyDescent="0.55000000000000004">
      <c r="A3" s="37"/>
      <c r="B3" s="37"/>
      <c r="C3" s="40" t="s">
        <v>354</v>
      </c>
      <c r="D3" s="40"/>
      <c r="E3" s="40"/>
      <c r="F3" s="40"/>
      <c r="G3" s="40"/>
    </row>
    <row r="5" spans="1:7" ht="31" customHeight="1" x14ac:dyDescent="0.55000000000000004">
      <c r="A5" s="53" t="s">
        <v>355</v>
      </c>
      <c r="B5" s="53"/>
      <c r="C5" s="53"/>
      <c r="D5" s="53"/>
      <c r="E5" s="53"/>
      <c r="F5" s="53"/>
      <c r="G5" s="53"/>
    </row>
    <row r="6" spans="1:7" ht="28" customHeight="1" x14ac:dyDescent="0.55000000000000004">
      <c r="A6" s="7" t="s">
        <v>356</v>
      </c>
      <c r="B6" s="7" t="s">
        <v>95</v>
      </c>
      <c r="C6" s="7" t="s">
        <v>357</v>
      </c>
      <c r="D6" s="7" t="s">
        <v>358</v>
      </c>
      <c r="E6" s="7" t="s">
        <v>359</v>
      </c>
      <c r="F6" s="7" t="s">
        <v>144</v>
      </c>
      <c r="G6" s="7" t="s">
        <v>360</v>
      </c>
    </row>
    <row r="7" spans="1:7" ht="20.05" customHeight="1" x14ac:dyDescent="0.55000000000000004">
      <c r="A7" s="13" t="s">
        <v>361</v>
      </c>
      <c r="B7" s="13" t="s">
        <v>96</v>
      </c>
      <c r="C7" s="13" t="s">
        <v>362</v>
      </c>
      <c r="D7" s="13" t="s">
        <v>363</v>
      </c>
      <c r="E7" s="13" t="s">
        <v>364</v>
      </c>
      <c r="F7" s="13" t="s">
        <v>365</v>
      </c>
      <c r="G7" s="13" t="s">
        <v>108</v>
      </c>
    </row>
    <row r="8" spans="1:7" ht="20.05" customHeight="1" x14ac:dyDescent="0.55000000000000004">
      <c r="A8" s="13" t="s">
        <v>366</v>
      </c>
      <c r="B8" s="13" t="s">
        <v>344</v>
      </c>
      <c r="C8" s="13" t="s">
        <v>367</v>
      </c>
      <c r="D8" s="13" t="s">
        <v>368</v>
      </c>
      <c r="E8" s="13" t="s">
        <v>369</v>
      </c>
      <c r="F8" s="13" t="s">
        <v>365</v>
      </c>
      <c r="G8" s="13" t="s">
        <v>108</v>
      </c>
    </row>
    <row r="9" spans="1:7" ht="20.05" customHeight="1" x14ac:dyDescent="0.55000000000000004">
      <c r="A9" s="13" t="s">
        <v>370</v>
      </c>
      <c r="B9" s="13" t="s">
        <v>307</v>
      </c>
      <c r="C9" s="13" t="s">
        <v>371</v>
      </c>
      <c r="D9" s="13" t="s">
        <v>372</v>
      </c>
      <c r="E9" s="13" t="s">
        <v>373</v>
      </c>
      <c r="F9" s="13" t="s">
        <v>365</v>
      </c>
      <c r="G9" s="13" t="s">
        <v>374</v>
      </c>
    </row>
    <row r="10" spans="1:7" ht="20.05" customHeight="1" x14ac:dyDescent="0.55000000000000004">
      <c r="A10" s="3"/>
      <c r="B10" s="3"/>
      <c r="C10" s="3"/>
      <c r="D10" s="3"/>
      <c r="E10" s="3"/>
      <c r="F10" s="3"/>
      <c r="G10" s="3"/>
    </row>
    <row r="11" spans="1:7" ht="20.05" customHeight="1" x14ac:dyDescent="0.55000000000000004">
      <c r="A11" s="3"/>
      <c r="B11" s="3"/>
      <c r="C11" s="3"/>
      <c r="D11" s="3"/>
      <c r="E11" s="3"/>
      <c r="F11" s="3"/>
      <c r="G11" s="3"/>
    </row>
    <row r="12" spans="1:7" ht="20.05" customHeight="1" x14ac:dyDescent="0.55000000000000004">
      <c r="A12" s="3"/>
      <c r="B12" s="3"/>
      <c r="C12" s="3"/>
      <c r="D12" s="3"/>
      <c r="E12" s="3"/>
      <c r="F12" s="3"/>
      <c r="G12" s="3"/>
    </row>
    <row r="13" spans="1:7" ht="20.05" customHeight="1" x14ac:dyDescent="0.55000000000000004">
      <c r="A13" s="3"/>
      <c r="B13" s="3"/>
      <c r="C13" s="3"/>
      <c r="D13" s="3"/>
      <c r="E13" s="3"/>
      <c r="F13" s="3"/>
      <c r="G13" s="3"/>
    </row>
    <row r="14" spans="1:7" ht="20.05" customHeight="1" x14ac:dyDescent="0.55000000000000004">
      <c r="A14" s="3"/>
      <c r="B14" s="3"/>
      <c r="C14" s="3"/>
      <c r="D14" s="3"/>
      <c r="E14" s="3"/>
      <c r="F14" s="3"/>
      <c r="G14" s="3"/>
    </row>
    <row r="15" spans="1:7" ht="20.05" customHeight="1" x14ac:dyDescent="0.55000000000000004">
      <c r="A15" s="3"/>
      <c r="B15" s="3"/>
      <c r="C15" s="3"/>
      <c r="D15" s="3"/>
      <c r="E15" s="3"/>
      <c r="F15" s="3"/>
      <c r="G15" s="3"/>
    </row>
    <row r="16" spans="1:7" ht="20.05" customHeight="1" x14ac:dyDescent="0.55000000000000004">
      <c r="A16" s="3"/>
      <c r="B16" s="3"/>
      <c r="C16" s="3"/>
      <c r="D16" s="3"/>
      <c r="E16" s="3"/>
      <c r="F16" s="3"/>
      <c r="G16" s="3"/>
    </row>
    <row r="17" spans="1:7" ht="20.05" customHeight="1" x14ac:dyDescent="0.55000000000000004">
      <c r="A17" s="3"/>
      <c r="B17" s="3"/>
      <c r="C17" s="3"/>
      <c r="D17" s="3"/>
      <c r="E17" s="3"/>
      <c r="F17" s="3"/>
      <c r="G17" s="3"/>
    </row>
    <row r="18" spans="1:7" ht="20.05" customHeight="1" x14ac:dyDescent="0.55000000000000004">
      <c r="A18" s="3"/>
      <c r="B18" s="3"/>
      <c r="C18" s="3"/>
      <c r="D18" s="3"/>
      <c r="E18" s="3"/>
      <c r="F18" s="3"/>
      <c r="G18" s="3"/>
    </row>
  </sheetData>
  <mergeCells count="5">
    <mergeCell ref="C2:G2"/>
    <mergeCell ref="C1:G1"/>
    <mergeCell ref="C3:G3"/>
    <mergeCell ref="A1:B3"/>
    <mergeCell ref="A5:G5"/>
  </mergeCells>
  <dataValidations count="1">
    <dataValidation type="list" allowBlank="1" sqref="F7:F18" xr:uid="{00000000-0002-0000-0A00-000000000000}">
      <formula1>"Active,Inactive"</formula1>
    </dataValidation>
  </dataValidations>
  <pageMargins left="0.5" right="0.5" top="1" bottom="1" header="0.5" footer="0.5"/>
  <pageSetup paperSize="9" fitToHeight="0" orientation="landscape"/>
  <headerFooter>
    <oddFooter>&amp;LSM-10 | Crest Point Consulting Group&amp;CPage &amp;P of &amp;N&amp;RStrictly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pageSetUpPr fitToPage="1"/>
  </sheetPr>
  <dimension ref="A1:H16"/>
  <sheetViews>
    <sheetView showGridLines="0" workbookViewId="0">
      <pane ySplit="6" topLeftCell="A7" activePane="bottomLeft" state="frozen"/>
      <selection pane="bottomLeft" sqref="A1:B3"/>
    </sheetView>
  </sheetViews>
  <sheetFormatPr defaultRowHeight="14.4" x14ac:dyDescent="0.55000000000000004"/>
  <cols>
    <col min="1" max="1" width="22" customWidth="1"/>
    <col min="2" max="2" width="14" customWidth="1"/>
    <col min="3" max="3" width="18" customWidth="1"/>
    <col min="4" max="5" width="16" customWidth="1"/>
    <col min="6" max="6" width="12" customWidth="1"/>
    <col min="7" max="7" width="28" customWidth="1"/>
    <col min="8" max="8" width="24" customWidth="1"/>
  </cols>
  <sheetData>
    <row r="1" spans="1:8" ht="22" customHeight="1" x14ac:dyDescent="0.55000000000000004">
      <c r="A1" s="37" t="s">
        <v>88</v>
      </c>
      <c r="B1" s="37"/>
      <c r="C1" s="44" t="s">
        <v>0</v>
      </c>
      <c r="D1" s="44"/>
      <c r="E1" s="44"/>
      <c r="F1" s="44"/>
      <c r="G1" s="44"/>
      <c r="H1" s="44"/>
    </row>
    <row r="2" spans="1:8" ht="22" customHeight="1" x14ac:dyDescent="0.55000000000000004">
      <c r="A2" s="37"/>
      <c r="B2" s="37"/>
      <c r="C2" s="45" t="s">
        <v>375</v>
      </c>
      <c r="D2" s="45"/>
      <c r="E2" s="45"/>
      <c r="F2" s="45"/>
      <c r="G2" s="45"/>
      <c r="H2" s="45"/>
    </row>
    <row r="3" spans="1:8" ht="22" customHeight="1" x14ac:dyDescent="0.55000000000000004">
      <c r="A3" s="37"/>
      <c r="B3" s="37"/>
      <c r="C3" s="40" t="s">
        <v>376</v>
      </c>
      <c r="D3" s="40"/>
      <c r="E3" s="40"/>
      <c r="F3" s="40"/>
      <c r="G3" s="40"/>
      <c r="H3" s="40"/>
    </row>
    <row r="5" spans="1:8" ht="34" customHeight="1" x14ac:dyDescent="0.55000000000000004">
      <c r="A5" s="53" t="s">
        <v>377</v>
      </c>
      <c r="B5" s="53"/>
      <c r="C5" s="53"/>
      <c r="D5" s="53"/>
      <c r="E5" s="53"/>
      <c r="F5" s="53"/>
      <c r="G5" s="53"/>
      <c r="H5" s="53"/>
    </row>
    <row r="6" spans="1:8" ht="34" customHeight="1" x14ac:dyDescent="0.55000000000000004">
      <c r="A6" s="7" t="s">
        <v>378</v>
      </c>
      <c r="B6" s="7" t="s">
        <v>379</v>
      </c>
      <c r="C6" s="7" t="s">
        <v>244</v>
      </c>
      <c r="D6" s="7" t="s">
        <v>380</v>
      </c>
      <c r="E6" s="7" t="s">
        <v>381</v>
      </c>
      <c r="F6" s="7" t="s">
        <v>144</v>
      </c>
      <c r="G6" s="7" t="s">
        <v>382</v>
      </c>
      <c r="H6" s="7" t="s">
        <v>383</v>
      </c>
    </row>
    <row r="7" spans="1:8" ht="20.05" customHeight="1" x14ac:dyDescent="0.55000000000000004">
      <c r="A7" s="13" t="s">
        <v>384</v>
      </c>
      <c r="B7" s="13" t="s">
        <v>385</v>
      </c>
      <c r="C7" s="20">
        <v>5000</v>
      </c>
      <c r="D7" s="15">
        <v>46023</v>
      </c>
      <c r="E7" s="13"/>
      <c r="F7" s="13" t="s">
        <v>365</v>
      </c>
      <c r="G7" s="13" t="s">
        <v>386</v>
      </c>
      <c r="H7" s="11" t="str">
        <f t="shared" ref="H7:H16" si="0">IF(A7="","",IF(C7&lt;=0,"ERROR: price required",IF(AND(E7&lt;&gt;"",E7&lt;D7),"ERROR: end before start","OK")))</f>
        <v>OK</v>
      </c>
    </row>
    <row r="8" spans="1:8" ht="20.05" customHeight="1" x14ac:dyDescent="0.55000000000000004">
      <c r="A8" s="13" t="s">
        <v>384</v>
      </c>
      <c r="B8" s="13" t="s">
        <v>387</v>
      </c>
      <c r="C8" s="20">
        <v>4200</v>
      </c>
      <c r="D8" s="15">
        <v>46023</v>
      </c>
      <c r="E8" s="13"/>
      <c r="F8" s="13" t="s">
        <v>365</v>
      </c>
      <c r="G8" s="13" t="s">
        <v>386</v>
      </c>
      <c r="H8" s="11" t="str">
        <f t="shared" si="0"/>
        <v>OK</v>
      </c>
    </row>
    <row r="9" spans="1:8" ht="20.05" customHeight="1" x14ac:dyDescent="0.55000000000000004">
      <c r="A9" s="13" t="s">
        <v>388</v>
      </c>
      <c r="B9" s="13" t="s">
        <v>385</v>
      </c>
      <c r="C9" s="20">
        <v>6100</v>
      </c>
      <c r="D9" s="15">
        <v>46023</v>
      </c>
      <c r="E9" s="15">
        <v>46203</v>
      </c>
      <c r="F9" s="13" t="s">
        <v>389</v>
      </c>
      <c r="G9" s="13" t="s">
        <v>386</v>
      </c>
      <c r="H9" s="11" t="str">
        <f t="shared" si="0"/>
        <v>OK</v>
      </c>
    </row>
    <row r="10" spans="1:8" ht="20.05" customHeight="1" x14ac:dyDescent="0.55000000000000004">
      <c r="A10" s="3"/>
      <c r="B10" s="3"/>
      <c r="C10" s="25"/>
      <c r="D10" s="3"/>
      <c r="E10" s="3"/>
      <c r="F10" s="3"/>
      <c r="G10" s="3"/>
      <c r="H10" s="11" t="str">
        <f t="shared" si="0"/>
        <v/>
      </c>
    </row>
    <row r="11" spans="1:8" ht="20.05" customHeight="1" x14ac:dyDescent="0.55000000000000004">
      <c r="A11" s="3"/>
      <c r="B11" s="3"/>
      <c r="C11" s="25"/>
      <c r="D11" s="3"/>
      <c r="E11" s="3"/>
      <c r="F11" s="3"/>
      <c r="G11" s="3"/>
      <c r="H11" s="11" t="str">
        <f t="shared" si="0"/>
        <v/>
      </c>
    </row>
    <row r="12" spans="1:8" ht="20.05" customHeight="1" x14ac:dyDescent="0.55000000000000004">
      <c r="A12" s="3"/>
      <c r="B12" s="3"/>
      <c r="C12" s="25"/>
      <c r="D12" s="3"/>
      <c r="E12" s="3"/>
      <c r="F12" s="3"/>
      <c r="G12" s="3"/>
      <c r="H12" s="11" t="str">
        <f t="shared" si="0"/>
        <v/>
      </c>
    </row>
    <row r="13" spans="1:8" ht="20.05" customHeight="1" x14ac:dyDescent="0.55000000000000004">
      <c r="A13" s="3"/>
      <c r="B13" s="3"/>
      <c r="C13" s="25"/>
      <c r="D13" s="3"/>
      <c r="E13" s="3"/>
      <c r="F13" s="3"/>
      <c r="G13" s="3"/>
      <c r="H13" s="11" t="str">
        <f t="shared" si="0"/>
        <v/>
      </c>
    </row>
    <row r="14" spans="1:8" ht="20.05" customHeight="1" x14ac:dyDescent="0.55000000000000004">
      <c r="A14" s="3"/>
      <c r="B14" s="3"/>
      <c r="C14" s="25"/>
      <c r="D14" s="3"/>
      <c r="E14" s="3"/>
      <c r="F14" s="3"/>
      <c r="G14" s="3"/>
      <c r="H14" s="11" t="str">
        <f t="shared" si="0"/>
        <v/>
      </c>
    </row>
    <row r="15" spans="1:8" ht="20.05" customHeight="1" x14ac:dyDescent="0.55000000000000004">
      <c r="A15" s="3"/>
      <c r="B15" s="3"/>
      <c r="C15" s="25"/>
      <c r="D15" s="3"/>
      <c r="E15" s="3"/>
      <c r="F15" s="3"/>
      <c r="G15" s="3"/>
      <c r="H15" s="11" t="str">
        <f t="shared" si="0"/>
        <v/>
      </c>
    </row>
    <row r="16" spans="1:8" ht="20.05" customHeight="1" x14ac:dyDescent="0.55000000000000004">
      <c r="A16" s="3"/>
      <c r="B16" s="3"/>
      <c r="C16" s="25"/>
      <c r="D16" s="3"/>
      <c r="E16" s="3"/>
      <c r="F16" s="3"/>
      <c r="G16" s="3"/>
      <c r="H16" s="11" t="str">
        <f t="shared" si="0"/>
        <v/>
      </c>
    </row>
  </sheetData>
  <mergeCells count="5">
    <mergeCell ref="C2:H2"/>
    <mergeCell ref="C3:H3"/>
    <mergeCell ref="A5:H5"/>
    <mergeCell ref="A1:B3"/>
    <mergeCell ref="C1:H1"/>
  </mergeCells>
  <dataValidations count="1">
    <dataValidation type="list" allowBlank="1" sqref="F7:F16" xr:uid="{00000000-0002-0000-0B00-000000000000}">
      <formula1>"Active,Inactive"</formula1>
    </dataValidation>
  </dataValidations>
  <pageMargins left="0.5" right="0.5" top="1" bottom="1" header="0.5" footer="0.5"/>
  <pageSetup paperSize="9" fitToHeight="0" orientation="landscape"/>
  <headerFooter>
    <oddFooter>&amp;LSM-11 | Crest Point Consulting Group&amp;CPage &amp;P of &amp;N&amp;RStrictly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pageSetUpPr fitToPage="1"/>
  </sheetPr>
  <dimension ref="A1:E18"/>
  <sheetViews>
    <sheetView showGridLines="0" workbookViewId="0">
      <selection sqref="A1:B3"/>
    </sheetView>
  </sheetViews>
  <sheetFormatPr defaultRowHeight="14.4" x14ac:dyDescent="0.55000000000000004"/>
  <cols>
    <col min="1" max="1" width="6" customWidth="1"/>
    <col min="2" max="2" width="34" customWidth="1"/>
    <col min="3" max="3" width="30" customWidth="1"/>
    <col min="4" max="4" width="40" customWidth="1"/>
    <col min="5" max="5" width="52" customWidth="1"/>
  </cols>
  <sheetData>
    <row r="1" spans="1:5" ht="43.5" customHeight="1" x14ac:dyDescent="0.55000000000000004">
      <c r="A1" s="37" t="s">
        <v>88</v>
      </c>
      <c r="B1" s="37"/>
      <c r="C1" s="44" t="s">
        <v>0</v>
      </c>
      <c r="D1" s="44"/>
      <c r="E1" s="44"/>
    </row>
    <row r="2" spans="1:5" ht="22" customHeight="1" x14ac:dyDescent="0.55000000000000004">
      <c r="A2" s="37"/>
      <c r="B2" s="37"/>
      <c r="C2" s="45" t="s">
        <v>390</v>
      </c>
      <c r="D2" s="45"/>
      <c r="E2" s="45"/>
    </row>
    <row r="3" spans="1:5" ht="22" customHeight="1" x14ac:dyDescent="0.55000000000000004">
      <c r="A3" s="37"/>
      <c r="B3" s="37"/>
      <c r="C3" s="40" t="s">
        <v>391</v>
      </c>
      <c r="D3" s="40"/>
      <c r="E3" s="40"/>
    </row>
    <row r="5" spans="1:5" ht="30" customHeight="1" x14ac:dyDescent="0.55000000000000004">
      <c r="A5" s="7" t="s">
        <v>392</v>
      </c>
      <c r="B5" s="7" t="s">
        <v>393</v>
      </c>
      <c r="C5" s="7" t="s">
        <v>394</v>
      </c>
      <c r="D5" s="7" t="s">
        <v>395</v>
      </c>
      <c r="E5" s="7" t="s">
        <v>396</v>
      </c>
    </row>
    <row r="6" spans="1:5" ht="31" customHeight="1" x14ac:dyDescent="0.55000000000000004">
      <c r="A6" s="3">
        <v>1</v>
      </c>
      <c r="B6" s="3" t="s">
        <v>397</v>
      </c>
      <c r="C6" s="3" t="s">
        <v>398</v>
      </c>
      <c r="D6" s="3" t="s">
        <v>399</v>
      </c>
      <c r="E6" s="3" t="s">
        <v>400</v>
      </c>
    </row>
    <row r="7" spans="1:5" ht="31" customHeight="1" x14ac:dyDescent="0.55000000000000004">
      <c r="A7" s="3">
        <v>2</v>
      </c>
      <c r="B7" s="3" t="s">
        <v>401</v>
      </c>
      <c r="C7" s="3" t="s">
        <v>402</v>
      </c>
      <c r="D7" s="3" t="s">
        <v>403</v>
      </c>
      <c r="E7" s="3" t="s">
        <v>404</v>
      </c>
    </row>
    <row r="8" spans="1:5" ht="18.55" customHeight="1" x14ac:dyDescent="0.55000000000000004">
      <c r="A8" s="3">
        <v>3</v>
      </c>
      <c r="B8" s="3" t="s">
        <v>110</v>
      </c>
      <c r="C8" s="3" t="s">
        <v>405</v>
      </c>
      <c r="D8" s="3" t="s">
        <v>406</v>
      </c>
      <c r="E8" s="3" t="s">
        <v>407</v>
      </c>
    </row>
    <row r="9" spans="1:5" ht="31" customHeight="1" x14ac:dyDescent="0.55000000000000004">
      <c r="A9" s="3">
        <v>4</v>
      </c>
      <c r="B9" s="3" t="s">
        <v>408</v>
      </c>
      <c r="C9" s="3" t="s">
        <v>402</v>
      </c>
      <c r="D9" s="3" t="s">
        <v>409</v>
      </c>
      <c r="E9" s="3" t="s">
        <v>410</v>
      </c>
    </row>
    <row r="10" spans="1:5" ht="31" customHeight="1" x14ac:dyDescent="0.55000000000000004">
      <c r="A10" s="3">
        <v>5</v>
      </c>
      <c r="B10" s="3" t="s">
        <v>168</v>
      </c>
      <c r="C10" s="3" t="s">
        <v>411</v>
      </c>
      <c r="D10" s="3" t="s">
        <v>412</v>
      </c>
      <c r="E10" s="3" t="s">
        <v>413</v>
      </c>
    </row>
    <row r="11" spans="1:5" ht="44.05" customHeight="1" x14ac:dyDescent="0.55000000000000004">
      <c r="A11" s="3">
        <v>6</v>
      </c>
      <c r="B11" s="3" t="s">
        <v>414</v>
      </c>
      <c r="C11" s="3" t="s">
        <v>415</v>
      </c>
      <c r="D11" s="3" t="s">
        <v>416</v>
      </c>
      <c r="E11" s="3" t="s">
        <v>417</v>
      </c>
    </row>
    <row r="12" spans="1:5" ht="31" customHeight="1" x14ac:dyDescent="0.55000000000000004">
      <c r="A12" s="3">
        <v>7</v>
      </c>
      <c r="B12" s="3" t="s">
        <v>418</v>
      </c>
      <c r="C12" s="3" t="s">
        <v>402</v>
      </c>
      <c r="D12" s="3" t="s">
        <v>419</v>
      </c>
      <c r="E12" s="3" t="s">
        <v>420</v>
      </c>
    </row>
    <row r="13" spans="1:5" ht="31" customHeight="1" x14ac:dyDescent="0.55000000000000004">
      <c r="A13" s="3">
        <v>8</v>
      </c>
      <c r="B13" s="3" t="s">
        <v>343</v>
      </c>
      <c r="C13" s="3" t="s">
        <v>421</v>
      </c>
      <c r="D13" s="3" t="s">
        <v>422</v>
      </c>
      <c r="E13" s="3" t="s">
        <v>423</v>
      </c>
    </row>
    <row r="14" spans="1:5" ht="31" customHeight="1" x14ac:dyDescent="0.55000000000000004">
      <c r="A14" s="3">
        <v>9</v>
      </c>
      <c r="B14" s="3" t="s">
        <v>424</v>
      </c>
      <c r="C14" s="3" t="s">
        <v>421</v>
      </c>
      <c r="D14" s="3" t="s">
        <v>425</v>
      </c>
      <c r="E14" s="3" t="s">
        <v>426</v>
      </c>
    </row>
    <row r="15" spans="1:5" ht="31" customHeight="1" x14ac:dyDescent="0.55000000000000004">
      <c r="A15" s="3">
        <v>10</v>
      </c>
      <c r="B15" s="3" t="s">
        <v>427</v>
      </c>
      <c r="C15" s="3" t="s">
        <v>428</v>
      </c>
      <c r="D15" s="3" t="s">
        <v>429</v>
      </c>
      <c r="E15" s="3" t="s">
        <v>430</v>
      </c>
    </row>
    <row r="17" spans="1:5" ht="18.55" customHeight="1" x14ac:dyDescent="0.55000000000000004">
      <c r="A17" s="30" t="s">
        <v>124</v>
      </c>
      <c r="B17" s="30"/>
      <c r="C17" s="30"/>
      <c r="D17" s="30"/>
      <c r="E17" s="30"/>
    </row>
    <row r="18" spans="1:5" ht="34" customHeight="1" x14ac:dyDescent="0.55000000000000004">
      <c r="A18" s="31" t="s">
        <v>431</v>
      </c>
      <c r="B18" s="31"/>
      <c r="C18" s="31"/>
      <c r="D18" s="31"/>
      <c r="E18" s="31"/>
    </row>
  </sheetData>
  <mergeCells count="6">
    <mergeCell ref="A18:E18"/>
    <mergeCell ref="C2:E2"/>
    <mergeCell ref="C1:E1"/>
    <mergeCell ref="A17:E17"/>
    <mergeCell ref="C3:E3"/>
    <mergeCell ref="A1:B3"/>
  </mergeCells>
  <pageMargins left="0.5" right="0.5" top="1" bottom="1" header="0.5" footer="0.5"/>
  <pageSetup paperSize="9" fitToHeight="0" orientation="landscape"/>
  <headerFooter>
    <oddFooter>&amp;LSM-12 | Crest Point Consulting Group&amp;CPage &amp;P of &amp;N&amp;RStrictly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pageSetUpPr fitToPage="1"/>
  </sheetPr>
  <dimension ref="A1:F33"/>
  <sheetViews>
    <sheetView showGridLines="0" workbookViewId="0">
      <selection sqref="A1:B3"/>
    </sheetView>
  </sheetViews>
  <sheetFormatPr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7" t="s">
        <v>88</v>
      </c>
      <c r="B1" s="37"/>
      <c r="C1" s="44" t="s">
        <v>0</v>
      </c>
      <c r="D1" s="44"/>
      <c r="E1" s="44"/>
      <c r="F1" s="44"/>
    </row>
    <row r="2" spans="1:6" ht="22" customHeight="1" x14ac:dyDescent="0.55000000000000004">
      <c r="A2" s="37"/>
      <c r="B2" s="37"/>
      <c r="C2" s="45" t="s">
        <v>432</v>
      </c>
      <c r="D2" s="45"/>
      <c r="E2" s="45"/>
      <c r="F2" s="45"/>
    </row>
    <row r="3" spans="1:6" ht="22" customHeight="1" x14ac:dyDescent="0.55000000000000004">
      <c r="A3" s="37"/>
      <c r="B3" s="37"/>
      <c r="C3" s="40" t="s">
        <v>433</v>
      </c>
      <c r="D3" s="40"/>
      <c r="E3" s="40"/>
      <c r="F3" s="40"/>
    </row>
    <row r="5" spans="1:6" ht="18.55" customHeight="1" x14ac:dyDescent="0.55000000000000004">
      <c r="A5" s="35" t="s">
        <v>434</v>
      </c>
      <c r="B5" s="35"/>
      <c r="C5" s="35"/>
      <c r="D5" s="35"/>
      <c r="E5" s="35"/>
      <c r="F5" s="35"/>
    </row>
    <row r="6" spans="1:6" ht="20.05" customHeight="1" x14ac:dyDescent="0.55000000000000004">
      <c r="A6" s="30" t="s">
        <v>435</v>
      </c>
      <c r="B6" s="30"/>
      <c r="C6" s="11" t="s">
        <v>436</v>
      </c>
      <c r="D6" s="1" t="s">
        <v>437</v>
      </c>
      <c r="E6" s="49">
        <v>46296.631944444453</v>
      </c>
      <c r="F6" s="49"/>
    </row>
    <row r="7" spans="1:6" ht="20.05" customHeight="1" x14ac:dyDescent="0.55000000000000004">
      <c r="A7" s="30" t="s">
        <v>438</v>
      </c>
      <c r="B7" s="30"/>
      <c r="C7" s="11" t="s">
        <v>439</v>
      </c>
      <c r="D7" s="1" t="s">
        <v>440</v>
      </c>
      <c r="E7" s="39" t="s">
        <v>441</v>
      </c>
      <c r="F7" s="39"/>
    </row>
    <row r="8" spans="1:6" ht="20.05" customHeight="1" x14ac:dyDescent="0.55000000000000004">
      <c r="A8" s="30" t="s">
        <v>442</v>
      </c>
      <c r="B8" s="30"/>
      <c r="C8" s="13" t="s">
        <v>443</v>
      </c>
      <c r="D8" s="1" t="s">
        <v>444</v>
      </c>
      <c r="E8" s="38" t="s">
        <v>445</v>
      </c>
      <c r="F8" s="38"/>
    </row>
    <row r="9" spans="1:6" ht="31" customHeight="1" x14ac:dyDescent="0.55000000000000004">
      <c r="A9" s="30" t="s">
        <v>446</v>
      </c>
      <c r="B9" s="30"/>
      <c r="C9" s="11" t="s">
        <v>108</v>
      </c>
      <c r="D9" s="1" t="s">
        <v>447</v>
      </c>
      <c r="E9" s="39" t="s">
        <v>448</v>
      </c>
      <c r="F9" s="39"/>
    </row>
    <row r="10" spans="1:6" ht="30" customHeight="1" x14ac:dyDescent="0.55000000000000004">
      <c r="A10" s="30" t="s">
        <v>449</v>
      </c>
      <c r="B10" s="30"/>
      <c r="C10" s="38" t="s">
        <v>450</v>
      </c>
      <c r="D10" s="38"/>
      <c r="E10" s="38"/>
      <c r="F10" s="38"/>
    </row>
    <row r="11" spans="1:6" ht="30" customHeight="1" x14ac:dyDescent="0.55000000000000004">
      <c r="A11" s="30" t="s">
        <v>451</v>
      </c>
      <c r="B11" s="30"/>
      <c r="C11" s="38" t="s">
        <v>452</v>
      </c>
      <c r="D11" s="38"/>
      <c r="E11" s="38"/>
      <c r="F11" s="38"/>
    </row>
    <row r="12" spans="1:6" ht="30" customHeight="1" x14ac:dyDescent="0.55000000000000004">
      <c r="A12" s="30" t="s">
        <v>453</v>
      </c>
      <c r="B12" s="30"/>
      <c r="C12" s="38" t="s">
        <v>454</v>
      </c>
      <c r="D12" s="38"/>
      <c r="E12" s="38"/>
      <c r="F12" s="38"/>
    </row>
    <row r="14" spans="1:6" ht="18.55" customHeight="1" x14ac:dyDescent="0.55000000000000004">
      <c r="A14" s="35" t="s">
        <v>455</v>
      </c>
      <c r="B14" s="35"/>
      <c r="C14" s="35"/>
      <c r="D14" s="35"/>
      <c r="E14" s="35"/>
      <c r="F14" s="35"/>
    </row>
    <row r="15" spans="1:6" ht="20.05" customHeight="1" x14ac:dyDescent="0.55000000000000004">
      <c r="A15" s="30" t="s">
        <v>456</v>
      </c>
      <c r="B15" s="30"/>
      <c r="C15" s="13" t="s">
        <v>457</v>
      </c>
      <c r="D15" s="1" t="s">
        <v>458</v>
      </c>
      <c r="E15" s="49">
        <v>46296.652777777781</v>
      </c>
      <c r="F15" s="49"/>
    </row>
    <row r="16" spans="1:6" ht="31" customHeight="1" x14ac:dyDescent="0.55000000000000004">
      <c r="A16" s="30" t="s">
        <v>459</v>
      </c>
      <c r="B16" s="30"/>
      <c r="C16" s="38"/>
      <c r="D16" s="38"/>
      <c r="E16" s="38"/>
      <c r="F16" s="38"/>
    </row>
    <row r="17" spans="1:6" ht="31" customHeight="1" x14ac:dyDescent="0.55000000000000004">
      <c r="A17" s="30" t="s">
        <v>460</v>
      </c>
      <c r="B17" s="30"/>
      <c r="C17" s="11" t="s">
        <v>461</v>
      </c>
      <c r="D17" s="1" t="s">
        <v>462</v>
      </c>
      <c r="E17" s="39" t="s">
        <v>463</v>
      </c>
      <c r="F17" s="39"/>
    </row>
    <row r="19" spans="1:6" ht="18.55" customHeight="1" x14ac:dyDescent="0.55000000000000004">
      <c r="A19" s="35" t="s">
        <v>464</v>
      </c>
      <c r="B19" s="35"/>
      <c r="C19" s="35"/>
      <c r="D19" s="35"/>
      <c r="E19" s="35"/>
      <c r="F19" s="35"/>
    </row>
    <row r="20" spans="1:6" ht="18.55" customHeight="1" x14ac:dyDescent="0.55000000000000004">
      <c r="A20" s="30" t="s">
        <v>465</v>
      </c>
      <c r="B20" s="30"/>
      <c r="C20" s="30"/>
      <c r="D20" s="54" t="s">
        <v>466</v>
      </c>
      <c r="E20" s="54"/>
      <c r="F20" s="54"/>
    </row>
    <row r="21" spans="1:6" ht="18.55" customHeight="1" x14ac:dyDescent="0.55000000000000004">
      <c r="A21" s="30" t="s">
        <v>467</v>
      </c>
      <c r="B21" s="30"/>
      <c r="C21" s="30"/>
      <c r="D21" s="54" t="s">
        <v>466</v>
      </c>
      <c r="E21" s="54"/>
      <c r="F21" s="54"/>
    </row>
    <row r="22" spans="1:6" ht="18.55" customHeight="1" x14ac:dyDescent="0.55000000000000004">
      <c r="A22" s="30" t="s">
        <v>468</v>
      </c>
      <c r="B22" s="30"/>
      <c r="C22" s="30"/>
      <c r="D22" s="54" t="s">
        <v>466</v>
      </c>
      <c r="E22" s="54"/>
      <c r="F22" s="54"/>
    </row>
    <row r="23" spans="1:6" ht="18.55" customHeight="1" x14ac:dyDescent="0.55000000000000004">
      <c r="A23" s="30" t="s">
        <v>469</v>
      </c>
      <c r="B23" s="30"/>
      <c r="C23" s="30"/>
      <c r="D23" s="54" t="s">
        <v>466</v>
      </c>
      <c r="E23" s="54"/>
      <c r="F23" s="54"/>
    </row>
    <row r="25" spans="1:6" ht="31" customHeight="1" x14ac:dyDescent="0.55000000000000004">
      <c r="A25" s="43" t="s">
        <v>470</v>
      </c>
      <c r="B25" s="43"/>
      <c r="C25" s="43"/>
      <c r="D25" s="43" t="s">
        <v>471</v>
      </c>
      <c r="E25" s="43"/>
      <c r="F25" s="43"/>
    </row>
    <row r="26" spans="1:6" ht="20.05" customHeight="1" x14ac:dyDescent="0.55000000000000004">
      <c r="A26" s="32" t="s">
        <v>120</v>
      </c>
      <c r="B26" s="32"/>
      <c r="C26" s="32"/>
      <c r="D26" s="32" t="s">
        <v>120</v>
      </c>
      <c r="E26" s="32"/>
      <c r="F26" s="32"/>
    </row>
    <row r="27" spans="1:6" ht="20.05" customHeight="1" x14ac:dyDescent="0.55000000000000004">
      <c r="A27" s="32" t="s">
        <v>121</v>
      </c>
      <c r="B27" s="32"/>
      <c r="C27" s="32"/>
      <c r="D27" s="32" t="s">
        <v>121</v>
      </c>
      <c r="E27" s="32"/>
      <c r="F27" s="32"/>
    </row>
    <row r="28" spans="1:6" ht="44.05" customHeight="1" x14ac:dyDescent="0.55000000000000004">
      <c r="A28" s="41" t="s">
        <v>122</v>
      </c>
      <c r="B28" s="41"/>
      <c r="C28" s="41"/>
      <c r="D28" s="41" t="s">
        <v>122</v>
      </c>
      <c r="E28" s="41"/>
      <c r="F28" s="41"/>
    </row>
    <row r="29" spans="1:6" ht="20.05" customHeight="1" x14ac:dyDescent="0.55000000000000004">
      <c r="A29" s="32" t="s">
        <v>123</v>
      </c>
      <c r="B29" s="32"/>
      <c r="C29" s="32"/>
      <c r="D29" s="32" t="s">
        <v>123</v>
      </c>
      <c r="E29" s="32"/>
      <c r="F29" s="32"/>
    </row>
    <row r="31" spans="1:6" ht="18.55" customHeight="1" x14ac:dyDescent="0.55000000000000004">
      <c r="A31" s="30" t="s">
        <v>124</v>
      </c>
      <c r="B31" s="30"/>
      <c r="C31" s="30"/>
      <c r="D31" s="30"/>
      <c r="E31" s="30"/>
      <c r="F31" s="30"/>
    </row>
    <row r="32" spans="1:6" ht="31" customHeight="1" x14ac:dyDescent="0.55000000000000004">
      <c r="A32" s="31" t="s">
        <v>472</v>
      </c>
      <c r="B32" s="31"/>
      <c r="C32" s="31"/>
      <c r="D32" s="31"/>
      <c r="E32" s="31"/>
      <c r="F32" s="31"/>
    </row>
    <row r="33" spans="1:6" ht="31" customHeight="1" x14ac:dyDescent="0.55000000000000004">
      <c r="A33" s="31" t="s">
        <v>473</v>
      </c>
      <c r="B33" s="31"/>
      <c r="C33" s="31"/>
      <c r="D33" s="31"/>
      <c r="E33" s="31"/>
      <c r="F33" s="31"/>
    </row>
  </sheetData>
  <mergeCells count="48">
    <mergeCell ref="D29:F29"/>
    <mergeCell ref="E15:F15"/>
    <mergeCell ref="A19:F19"/>
    <mergeCell ref="D23:F23"/>
    <mergeCell ref="A31:F31"/>
    <mergeCell ref="C16:F16"/>
    <mergeCell ref="D26:F26"/>
    <mergeCell ref="A17:B17"/>
    <mergeCell ref="D20:F20"/>
    <mergeCell ref="D22:F22"/>
    <mergeCell ref="A33:F33"/>
    <mergeCell ref="A16:B16"/>
    <mergeCell ref="C3:F3"/>
    <mergeCell ref="D28:F28"/>
    <mergeCell ref="A7:B7"/>
    <mergeCell ref="A14:F14"/>
    <mergeCell ref="A23:C23"/>
    <mergeCell ref="A5:F5"/>
    <mergeCell ref="A32:F32"/>
    <mergeCell ref="A22:C22"/>
    <mergeCell ref="A29:C29"/>
    <mergeCell ref="D25:F25"/>
    <mergeCell ref="E9:F9"/>
    <mergeCell ref="A20:C20"/>
    <mergeCell ref="A12:B12"/>
    <mergeCell ref="A28:C28"/>
    <mergeCell ref="A1:B3"/>
    <mergeCell ref="E8:F8"/>
    <mergeCell ref="A6:B6"/>
    <mergeCell ref="A26:C26"/>
    <mergeCell ref="D21:F21"/>
    <mergeCell ref="E6:F6"/>
    <mergeCell ref="C1:F1"/>
    <mergeCell ref="C10:F10"/>
    <mergeCell ref="A8:B8"/>
    <mergeCell ref="E7:F7"/>
    <mergeCell ref="C12:F12"/>
    <mergeCell ref="A10:B10"/>
    <mergeCell ref="C11:F11"/>
    <mergeCell ref="A9:B9"/>
    <mergeCell ref="C2:F2"/>
    <mergeCell ref="A25:C25"/>
    <mergeCell ref="A15:B15"/>
    <mergeCell ref="D27:F27"/>
    <mergeCell ref="A11:B11"/>
    <mergeCell ref="A27:C27"/>
    <mergeCell ref="A21:C21"/>
    <mergeCell ref="E17:F17"/>
  </mergeCells>
  <dataValidations count="2">
    <dataValidation type="list" allowBlank="1" sqref="C8" xr:uid="{00000000-0002-0000-0D00-000000000000}">
      <formula1>"Sales Order,Tariff Slip,Coal Allocation Authorization,Other"</formula1>
    </dataValidation>
    <dataValidation type="list" allowBlank="1" sqref="C15" xr:uid="{00000000-0002-0000-0D00-000001000000}">
      <formula1>"Approved,Rejected"</formula1>
    </dataValidation>
  </dataValidations>
  <pageMargins left="0.5" right="0.5" top="1" bottom="1" header="0.5" footer="0.5"/>
  <pageSetup paperSize="9" fitToHeight="0" orientation="portrait"/>
  <headerFooter>
    <oddFooter>&amp;LSM-13 | Crest Point Consulting Group&amp;CPage &amp;P of &amp;N&amp;RStrictly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A1:G13"/>
  <sheetViews>
    <sheetView showGridLines="0" workbookViewId="0">
      <pane ySplit="5" topLeftCell="A6" activePane="bottomLeft" state="frozen"/>
      <selection pane="bottomLeft" sqref="A1:B3"/>
    </sheetView>
  </sheetViews>
  <sheetFormatPr defaultRowHeight="14.4" x14ac:dyDescent="0.55000000000000004"/>
  <cols>
    <col min="1" max="2" width="28" customWidth="1"/>
    <col min="3" max="3" width="30" customWidth="1"/>
    <col min="4" max="4" width="32" customWidth="1"/>
    <col min="5" max="5" width="28" customWidth="1"/>
    <col min="6" max="6" width="30" customWidth="1"/>
    <col min="7" max="7" width="40" customWidth="1"/>
  </cols>
  <sheetData>
    <row r="1" spans="1:7" ht="22" customHeight="1" x14ac:dyDescent="0.55000000000000004">
      <c r="A1" s="37" t="s">
        <v>88</v>
      </c>
      <c r="B1" s="37"/>
      <c r="C1" s="44" t="s">
        <v>0</v>
      </c>
      <c r="D1" s="44"/>
      <c r="E1" s="44"/>
      <c r="F1" s="44"/>
      <c r="G1" s="44"/>
    </row>
    <row r="2" spans="1:7" ht="22" customHeight="1" x14ac:dyDescent="0.55000000000000004">
      <c r="A2" s="37"/>
      <c r="B2" s="37"/>
      <c r="C2" s="45" t="s">
        <v>474</v>
      </c>
      <c r="D2" s="45"/>
      <c r="E2" s="45"/>
      <c r="F2" s="45"/>
      <c r="G2" s="45"/>
    </row>
    <row r="3" spans="1:7" ht="22" customHeight="1" x14ac:dyDescent="0.55000000000000004">
      <c r="A3" s="37"/>
      <c r="B3" s="37"/>
      <c r="C3" s="40" t="s">
        <v>475</v>
      </c>
      <c r="D3" s="40"/>
      <c r="E3" s="40"/>
      <c r="F3" s="40"/>
      <c r="G3" s="40"/>
    </row>
    <row r="5" spans="1:7" ht="34" customHeight="1" x14ac:dyDescent="0.55000000000000004">
      <c r="A5" s="7" t="s">
        <v>476</v>
      </c>
      <c r="B5" s="7" t="s">
        <v>477</v>
      </c>
      <c r="C5" s="7" t="s">
        <v>478</v>
      </c>
      <c r="D5" s="7" t="s">
        <v>479</v>
      </c>
      <c r="E5" s="7" t="s">
        <v>480</v>
      </c>
      <c r="F5" s="7" t="s">
        <v>481</v>
      </c>
      <c r="G5" s="7" t="s">
        <v>482</v>
      </c>
    </row>
    <row r="6" spans="1:7" ht="44.05" customHeight="1" x14ac:dyDescent="0.55000000000000004">
      <c r="A6" s="3" t="s">
        <v>483</v>
      </c>
      <c r="B6" s="3" t="s">
        <v>484</v>
      </c>
      <c r="C6" s="3" t="s">
        <v>485</v>
      </c>
      <c r="D6" s="3" t="s">
        <v>486</v>
      </c>
      <c r="E6" s="3" t="s">
        <v>487</v>
      </c>
      <c r="F6" s="3" t="s">
        <v>487</v>
      </c>
      <c r="G6" s="3" t="s">
        <v>488</v>
      </c>
    </row>
    <row r="7" spans="1:7" ht="31" customHeight="1" x14ac:dyDescent="0.55000000000000004">
      <c r="A7" s="3" t="s">
        <v>21</v>
      </c>
      <c r="B7" s="3" t="s">
        <v>402</v>
      </c>
      <c r="C7" s="3" t="s">
        <v>489</v>
      </c>
      <c r="D7" s="3" t="s">
        <v>487</v>
      </c>
      <c r="E7" s="3" t="s">
        <v>487</v>
      </c>
      <c r="F7" s="3" t="s">
        <v>487</v>
      </c>
      <c r="G7" s="3" t="s">
        <v>490</v>
      </c>
    </row>
    <row r="8" spans="1:7" ht="31" customHeight="1" x14ac:dyDescent="0.55000000000000004">
      <c r="A8" s="3" t="s">
        <v>25</v>
      </c>
      <c r="B8" s="3" t="s">
        <v>411</v>
      </c>
      <c r="C8" s="3" t="s">
        <v>491</v>
      </c>
      <c r="D8" s="3" t="s">
        <v>487</v>
      </c>
      <c r="E8" s="3" t="s">
        <v>492</v>
      </c>
      <c r="F8" s="3" t="s">
        <v>493</v>
      </c>
      <c r="G8" s="3" t="s">
        <v>494</v>
      </c>
    </row>
    <row r="9" spans="1:7" ht="31" customHeight="1" x14ac:dyDescent="0.55000000000000004">
      <c r="A9" s="3" t="s">
        <v>29</v>
      </c>
      <c r="B9" s="3" t="s">
        <v>495</v>
      </c>
      <c r="C9" s="3" t="s">
        <v>496</v>
      </c>
      <c r="D9" s="3" t="s">
        <v>487</v>
      </c>
      <c r="E9" s="3" t="s">
        <v>497</v>
      </c>
      <c r="F9" s="3" t="s">
        <v>498</v>
      </c>
      <c r="G9" s="3" t="s">
        <v>499</v>
      </c>
    </row>
    <row r="10" spans="1:7" ht="31" customHeight="1" x14ac:dyDescent="0.55000000000000004">
      <c r="A10" s="3" t="s">
        <v>500</v>
      </c>
      <c r="B10" s="3" t="s">
        <v>501</v>
      </c>
      <c r="C10" s="3" t="s">
        <v>502</v>
      </c>
      <c r="D10" s="3" t="s">
        <v>487</v>
      </c>
      <c r="E10" s="3" t="s">
        <v>487</v>
      </c>
      <c r="F10" s="3" t="s">
        <v>503</v>
      </c>
      <c r="G10" s="3" t="s">
        <v>504</v>
      </c>
    </row>
    <row r="11" spans="1:7" ht="44.05" customHeight="1" x14ac:dyDescent="0.55000000000000004">
      <c r="A11" s="3" t="s">
        <v>505</v>
      </c>
      <c r="B11" s="3" t="s">
        <v>506</v>
      </c>
      <c r="C11" s="3" t="s">
        <v>507</v>
      </c>
      <c r="D11" s="3" t="s">
        <v>487</v>
      </c>
      <c r="E11" s="3" t="s">
        <v>487</v>
      </c>
      <c r="F11" s="3" t="s">
        <v>503</v>
      </c>
      <c r="G11" s="3" t="s">
        <v>508</v>
      </c>
    </row>
    <row r="12" spans="1:7" ht="31" customHeight="1" x14ac:dyDescent="0.55000000000000004">
      <c r="A12" s="3" t="s">
        <v>45</v>
      </c>
      <c r="B12" s="3" t="s">
        <v>509</v>
      </c>
      <c r="C12" s="3" t="s">
        <v>510</v>
      </c>
      <c r="D12" s="3" t="s">
        <v>487</v>
      </c>
      <c r="E12" s="3" t="s">
        <v>511</v>
      </c>
      <c r="F12" s="3" t="s">
        <v>512</v>
      </c>
      <c r="G12" s="3" t="s">
        <v>513</v>
      </c>
    </row>
    <row r="13" spans="1:7" ht="31" customHeight="1" x14ac:dyDescent="0.55000000000000004">
      <c r="A13" s="3" t="s">
        <v>65</v>
      </c>
      <c r="B13" s="3" t="s">
        <v>402</v>
      </c>
      <c r="C13" s="3" t="s">
        <v>514</v>
      </c>
      <c r="D13" s="3" t="s">
        <v>487</v>
      </c>
      <c r="E13" s="3" t="s">
        <v>487</v>
      </c>
      <c r="F13" s="3" t="s">
        <v>515</v>
      </c>
      <c r="G13" s="3" t="s">
        <v>516</v>
      </c>
    </row>
  </sheetData>
  <mergeCells count="4">
    <mergeCell ref="C2:G2"/>
    <mergeCell ref="A1:B3"/>
    <mergeCell ref="C1:G1"/>
    <mergeCell ref="C3:G3"/>
  </mergeCells>
  <pageMargins left="0.5" right="0.5" top="1" bottom="1" header="0.5" footer="0.5"/>
  <pageSetup paperSize="9" fitToHeight="0" orientation="landscape"/>
  <headerFooter>
    <oddFooter>&amp;LSM-14 | Crest Point Consulting Group&amp;CPage &amp;P of &amp;N&amp;RStrictly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A1:E13"/>
  <sheetViews>
    <sheetView showGridLines="0" workbookViewId="0">
      <selection sqref="A1:B3"/>
    </sheetView>
  </sheetViews>
  <sheetFormatPr defaultRowHeight="14.4" x14ac:dyDescent="0.55000000000000004"/>
  <cols>
    <col min="1" max="1" width="5" customWidth="1"/>
    <col min="2" max="2" width="50" customWidth="1"/>
    <col min="3" max="4" width="34" customWidth="1"/>
    <col min="5" max="5" width="50" customWidth="1"/>
  </cols>
  <sheetData>
    <row r="1" spans="1:5" ht="56.05" customHeight="1" x14ac:dyDescent="0.55000000000000004">
      <c r="A1" s="37" t="s">
        <v>88</v>
      </c>
      <c r="B1" s="37"/>
      <c r="C1" s="44" t="s">
        <v>0</v>
      </c>
      <c r="D1" s="44"/>
      <c r="E1" s="44"/>
    </row>
    <row r="2" spans="1:5" ht="22" customHeight="1" x14ac:dyDescent="0.55000000000000004">
      <c r="A2" s="37"/>
      <c r="B2" s="37"/>
      <c r="C2" s="45" t="s">
        <v>517</v>
      </c>
      <c r="D2" s="45"/>
      <c r="E2" s="45"/>
    </row>
    <row r="3" spans="1:5" ht="22" customHeight="1" x14ac:dyDescent="0.55000000000000004">
      <c r="A3" s="37"/>
      <c r="B3" s="37"/>
      <c r="C3" s="40" t="s">
        <v>518</v>
      </c>
      <c r="D3" s="40"/>
      <c r="E3" s="40"/>
    </row>
    <row r="5" spans="1:5" ht="30" customHeight="1" x14ac:dyDescent="0.55000000000000004">
      <c r="A5" s="7" t="s">
        <v>392</v>
      </c>
      <c r="B5" s="7" t="s">
        <v>519</v>
      </c>
      <c r="C5" s="7" t="s">
        <v>520</v>
      </c>
      <c r="D5" s="7" t="s">
        <v>521</v>
      </c>
      <c r="E5" s="7" t="s">
        <v>522</v>
      </c>
    </row>
    <row r="6" spans="1:5" ht="31" customHeight="1" x14ac:dyDescent="0.55000000000000004">
      <c r="A6" s="3">
        <v>1</v>
      </c>
      <c r="B6" s="3" t="s">
        <v>523</v>
      </c>
      <c r="C6" s="3" t="s">
        <v>524</v>
      </c>
      <c r="D6" s="3" t="s">
        <v>525</v>
      </c>
      <c r="E6" s="3" t="s">
        <v>526</v>
      </c>
    </row>
    <row r="7" spans="1:5" ht="31" customHeight="1" x14ac:dyDescent="0.55000000000000004">
      <c r="A7" s="3">
        <v>2</v>
      </c>
      <c r="B7" s="3" t="s">
        <v>527</v>
      </c>
      <c r="C7" s="3" t="s">
        <v>525</v>
      </c>
      <c r="D7" s="3" t="s">
        <v>528</v>
      </c>
      <c r="E7" s="3" t="s">
        <v>529</v>
      </c>
    </row>
    <row r="8" spans="1:5" ht="31" customHeight="1" x14ac:dyDescent="0.55000000000000004">
      <c r="A8" s="3">
        <v>3</v>
      </c>
      <c r="B8" s="3" t="s">
        <v>530</v>
      </c>
      <c r="C8" s="3" t="s">
        <v>531</v>
      </c>
      <c r="D8" s="3" t="s">
        <v>532</v>
      </c>
      <c r="E8" s="3" t="s">
        <v>533</v>
      </c>
    </row>
    <row r="9" spans="1:5" ht="31" customHeight="1" x14ac:dyDescent="0.55000000000000004">
      <c r="A9" s="3">
        <v>4</v>
      </c>
      <c r="B9" s="3" t="s">
        <v>534</v>
      </c>
      <c r="C9" s="3" t="s">
        <v>535</v>
      </c>
      <c r="D9" s="3" t="s">
        <v>535</v>
      </c>
      <c r="E9" s="3" t="s">
        <v>536</v>
      </c>
    </row>
    <row r="11" spans="1:5" ht="18.55" customHeight="1" x14ac:dyDescent="0.55000000000000004">
      <c r="A11" s="30" t="s">
        <v>124</v>
      </c>
      <c r="B11" s="30"/>
      <c r="C11" s="30"/>
      <c r="D11" s="30"/>
      <c r="E11" s="30"/>
    </row>
    <row r="12" spans="1:5" ht="31" customHeight="1" x14ac:dyDescent="0.55000000000000004">
      <c r="A12" s="31" t="s">
        <v>537</v>
      </c>
      <c r="B12" s="31"/>
      <c r="C12" s="31"/>
      <c r="D12" s="31"/>
      <c r="E12" s="31"/>
    </row>
    <row r="13" spans="1:5" ht="30" customHeight="1" x14ac:dyDescent="0.55000000000000004">
      <c r="A13" s="31" t="s">
        <v>538</v>
      </c>
      <c r="B13" s="31"/>
      <c r="C13" s="31"/>
      <c r="D13" s="31"/>
      <c r="E13" s="31"/>
    </row>
  </sheetData>
  <mergeCells count="7">
    <mergeCell ref="A13:E13"/>
    <mergeCell ref="A1:B3"/>
    <mergeCell ref="C2:E2"/>
    <mergeCell ref="C1:E1"/>
    <mergeCell ref="A12:E12"/>
    <mergeCell ref="A11:E11"/>
    <mergeCell ref="C3:E3"/>
  </mergeCells>
  <pageMargins left="0.5" right="0.5" top="1" bottom="1" header="0.5" footer="0.5"/>
  <pageSetup paperSize="9" fitToHeight="0" orientation="landscape"/>
  <headerFooter>
    <oddFooter>&amp;LSM-15 | Crest Point Consulting Group&amp;CPage &amp;P of &amp;N&amp;RStrictly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E16"/>
  <sheetViews>
    <sheetView showGridLines="0" workbookViewId="0">
      <selection sqref="A1:B3"/>
    </sheetView>
  </sheetViews>
  <sheetFormatPr defaultRowHeight="14.4" x14ac:dyDescent="0.55000000000000004"/>
  <cols>
    <col min="1" max="1" width="5" customWidth="1"/>
    <col min="2" max="2" width="42" customWidth="1"/>
    <col min="3" max="3" width="22" customWidth="1"/>
    <col min="4" max="4" width="70" customWidth="1"/>
    <col min="5" max="5" width="14" customWidth="1"/>
  </cols>
  <sheetData>
    <row r="1" spans="1:5" ht="56.05" customHeight="1" x14ac:dyDescent="0.55000000000000004">
      <c r="A1" s="37" t="s">
        <v>88</v>
      </c>
      <c r="B1" s="37"/>
      <c r="C1" s="44" t="s">
        <v>0</v>
      </c>
      <c r="D1" s="44"/>
      <c r="E1" s="44"/>
    </row>
    <row r="2" spans="1:5" ht="22" customHeight="1" x14ac:dyDescent="0.55000000000000004">
      <c r="A2" s="37"/>
      <c r="B2" s="37"/>
      <c r="C2" s="45" t="s">
        <v>539</v>
      </c>
      <c r="D2" s="45"/>
      <c r="E2" s="45"/>
    </row>
    <row r="3" spans="1:5" ht="22" customHeight="1" x14ac:dyDescent="0.55000000000000004">
      <c r="A3" s="37"/>
      <c r="B3" s="37"/>
      <c r="C3" s="40" t="s">
        <v>540</v>
      </c>
      <c r="D3" s="40"/>
      <c r="E3" s="40"/>
    </row>
    <row r="5" spans="1:5" ht="30" customHeight="1" x14ac:dyDescent="0.55000000000000004">
      <c r="A5" s="7" t="s">
        <v>392</v>
      </c>
      <c r="B5" s="7" t="s">
        <v>541</v>
      </c>
      <c r="C5" s="7" t="s">
        <v>542</v>
      </c>
      <c r="D5" s="7" t="s">
        <v>543</v>
      </c>
      <c r="E5" s="7" t="s">
        <v>544</v>
      </c>
    </row>
    <row r="6" spans="1:5" ht="18.55" customHeight="1" x14ac:dyDescent="0.55000000000000004">
      <c r="A6" s="3">
        <v>1</v>
      </c>
      <c r="B6" s="3" t="s">
        <v>545</v>
      </c>
      <c r="C6" s="3" t="s">
        <v>546</v>
      </c>
      <c r="D6" s="3" t="s">
        <v>547</v>
      </c>
      <c r="E6" s="3" t="s">
        <v>548</v>
      </c>
    </row>
    <row r="7" spans="1:5" ht="18.55" customHeight="1" x14ac:dyDescent="0.55000000000000004">
      <c r="A7" s="3">
        <v>2</v>
      </c>
      <c r="B7" s="3" t="s">
        <v>549</v>
      </c>
      <c r="C7" s="3" t="s">
        <v>546</v>
      </c>
      <c r="D7" s="3" t="s">
        <v>550</v>
      </c>
      <c r="E7" s="3" t="s">
        <v>548</v>
      </c>
    </row>
    <row r="8" spans="1:5" ht="18.55" customHeight="1" x14ac:dyDescent="0.55000000000000004">
      <c r="A8" s="3">
        <v>3</v>
      </c>
      <c r="B8" s="3" t="s">
        <v>551</v>
      </c>
      <c r="C8" s="3" t="s">
        <v>546</v>
      </c>
      <c r="D8" s="3" t="s">
        <v>552</v>
      </c>
      <c r="E8" s="3" t="s">
        <v>548</v>
      </c>
    </row>
    <row r="9" spans="1:5" ht="18.55" customHeight="1" x14ac:dyDescent="0.55000000000000004">
      <c r="A9" s="3">
        <v>4</v>
      </c>
      <c r="B9" s="3" t="s">
        <v>553</v>
      </c>
      <c r="C9" s="3" t="s">
        <v>554</v>
      </c>
      <c r="D9" s="3" t="s">
        <v>555</v>
      </c>
      <c r="E9" s="3" t="s">
        <v>548</v>
      </c>
    </row>
    <row r="10" spans="1:5" ht="31" customHeight="1" x14ac:dyDescent="0.55000000000000004">
      <c r="A10" s="3">
        <v>5</v>
      </c>
      <c r="B10" s="3" t="s">
        <v>556</v>
      </c>
      <c r="C10" s="3" t="s">
        <v>554</v>
      </c>
      <c r="D10" s="3" t="s">
        <v>557</v>
      </c>
      <c r="E10" s="3" t="s">
        <v>548</v>
      </c>
    </row>
    <row r="11" spans="1:5" ht="31" customHeight="1" x14ac:dyDescent="0.55000000000000004">
      <c r="A11" s="3">
        <v>6</v>
      </c>
      <c r="B11" s="3" t="s">
        <v>558</v>
      </c>
      <c r="C11" s="3" t="s">
        <v>554</v>
      </c>
      <c r="D11" s="3" t="s">
        <v>559</v>
      </c>
      <c r="E11" s="3" t="s">
        <v>548</v>
      </c>
    </row>
    <row r="12" spans="1:5" ht="31" customHeight="1" x14ac:dyDescent="0.55000000000000004">
      <c r="A12" s="3">
        <v>7</v>
      </c>
      <c r="B12" s="3" t="s">
        <v>560</v>
      </c>
      <c r="C12" s="3" t="s">
        <v>546</v>
      </c>
      <c r="D12" s="3" t="s">
        <v>561</v>
      </c>
      <c r="E12" s="3" t="s">
        <v>548</v>
      </c>
    </row>
    <row r="13" spans="1:5" ht="18.55" customHeight="1" x14ac:dyDescent="0.55000000000000004">
      <c r="A13" s="3">
        <v>8</v>
      </c>
      <c r="B13" s="3" t="s">
        <v>562</v>
      </c>
      <c r="C13" s="3" t="s">
        <v>554</v>
      </c>
      <c r="D13" s="3" t="s">
        <v>563</v>
      </c>
      <c r="E13" s="3" t="s">
        <v>548</v>
      </c>
    </row>
    <row r="14" spans="1:5" ht="31" customHeight="1" x14ac:dyDescent="0.55000000000000004">
      <c r="A14" s="3">
        <v>9</v>
      </c>
      <c r="B14" s="3" t="s">
        <v>564</v>
      </c>
      <c r="C14" s="3" t="s">
        <v>546</v>
      </c>
      <c r="D14" s="3" t="s">
        <v>565</v>
      </c>
      <c r="E14" s="3" t="s">
        <v>548</v>
      </c>
    </row>
    <row r="15" spans="1:5" ht="18.55" customHeight="1" x14ac:dyDescent="0.55000000000000004">
      <c r="A15" s="3">
        <v>10</v>
      </c>
      <c r="B15" s="3" t="s">
        <v>566</v>
      </c>
      <c r="C15" s="3" t="s">
        <v>546</v>
      </c>
      <c r="D15" s="3" t="s">
        <v>567</v>
      </c>
      <c r="E15" s="3" t="s">
        <v>548</v>
      </c>
    </row>
    <row r="16" spans="1:5" ht="18.55" customHeight="1" x14ac:dyDescent="0.55000000000000004">
      <c r="A16" s="3">
        <v>11</v>
      </c>
      <c r="B16" s="3" t="s">
        <v>568</v>
      </c>
      <c r="C16" s="3" t="s">
        <v>546</v>
      </c>
      <c r="D16" s="3" t="s">
        <v>569</v>
      </c>
      <c r="E16" s="3" t="s">
        <v>548</v>
      </c>
    </row>
  </sheetData>
  <mergeCells count="4">
    <mergeCell ref="C2:E2"/>
    <mergeCell ref="C1:E1"/>
    <mergeCell ref="A1:B3"/>
    <mergeCell ref="C3:E3"/>
  </mergeCells>
  <pageMargins left="0.5" right="0.5" top="1" bottom="1" header="0.5" footer="0.5"/>
  <pageSetup paperSize="9" fitToHeight="0" orientation="landscape"/>
  <headerFooter>
    <oddFooter>&amp;LSM-16 | Crest Point Consulting Group&amp;CPage &amp;P of &amp;N&amp;RStrictly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Index</vt:lpstr>
      <vt:lpstr>SM-01 Sales Order Entry</vt:lpstr>
      <vt:lpstr>SM-02 Tariff Slip</vt:lpstr>
      <vt:lpstr>SM-03 Payment Confirmation</vt:lpstr>
      <vt:lpstr>SM-04 IC Payment Verification</vt:lpstr>
      <vt:lpstr>SM-05 Coal Allocation Auth</vt:lpstr>
      <vt:lpstr>SM-06 Dispatch Tracking</vt:lpstr>
      <vt:lpstr>SM-07 Weighing Interface</vt:lpstr>
      <vt:lpstr>SM-08 Sub-Office Minor Sale</vt:lpstr>
      <vt:lpstr>SM-09 Customer Tracking View</vt:lpstr>
      <vt:lpstr>SM-10 Customer Master</vt:lpstr>
      <vt:lpstr>SM-11 Tariff Schedule</vt:lpstr>
      <vt:lpstr>SM-12 Status Lifecycle</vt:lpstr>
      <vt:lpstr>SM-13 Correction Request</vt:lpstr>
      <vt:lpstr>SM-14 Approval Matrix</vt:lpstr>
      <vt:lpstr>SM-15 Accounting Entries</vt:lpstr>
      <vt:lpstr>SM-16 Reports Spec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Fayaz Yasini;Crest_Point1</dc:creator>
  <cp:lastModifiedBy>Fayaz Yasini</cp:lastModifiedBy>
  <dcterms:created xsi:type="dcterms:W3CDTF">2026-10-14T12:25:27Z</dcterms:created>
  <dcterms:modified xsi:type="dcterms:W3CDTF">2026-10-16T12:38:59Z</dcterms:modified>
</cp:coreProperties>
</file>