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yaz Yasini\Downloads\Forms\"/>
    </mc:Choice>
  </mc:AlternateContent>
  <xr:revisionPtr revIDLastSave="0" documentId="13_ncr:1_{B8497638-EE8A-4191-B4F7-4FE856C34612}" xr6:coauthVersionLast="47" xr6:coauthVersionMax="47" xr10:uidLastSave="{00000000-0000-0000-0000-000000000000}"/>
  <bookViews>
    <workbookView xWindow="-96" yWindow="-96" windowWidth="23232" windowHeight="13872" tabRatio="500" xr2:uid="{00000000-000D-0000-FFFF-FFFF00000000}"/>
  </bookViews>
  <sheets>
    <sheet name="Index" sheetId="1" r:id="rId1"/>
    <sheet name="IN-01 Item Request" sheetId="2" r:id="rId2"/>
    <sheet name="IN-02 Store Issuance" sheetId="3" r:id="rId3"/>
    <sheet name="IN-03 Asset Handover" sheetId="4" r:id="rId4"/>
    <sheet name="IN-04 Purchase Request" sheetId="5" r:id="rId5"/>
    <sheet name="IN-05 Goods Receipt Note" sheetId="6" r:id="rId6"/>
    <sheet name="IN-06 IC GRN Verification" sheetId="7" r:id="rId7"/>
    <sheet name="IN-07 Fixed Asset Entry" sheetId="8" r:id="rId8"/>
    <sheet name="IN-08 Depreciation Rate Change" sheetId="9" r:id="rId9"/>
    <sheet name="IN-09 Loss &amp; Write-Down" sheetId="10" r:id="rId10"/>
    <sheet name="IN-10 Item Master" sheetId="11" r:id="rId11"/>
    <sheet name="IN-11 Stock Level &amp; Alerts" sheetId="12" r:id="rId12"/>
    <sheet name="IN-12 Approval Matrix" sheetId="13" r:id="rId13"/>
    <sheet name="IN-13 Accounting Entries" sheetId="14" r:id="rId14"/>
    <sheet name="IN-14 Reports Spec" sheetId="15" r:id="rId15"/>
    <sheet name="IN-15 Correction Request"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9" i="12" l="1"/>
  <c r="H19" i="12"/>
  <c r="J18" i="12"/>
  <c r="H18" i="12"/>
  <c r="J17" i="12"/>
  <c r="H17" i="12"/>
  <c r="J16" i="12"/>
  <c r="H16" i="12"/>
  <c r="J15" i="12"/>
  <c r="H15" i="12"/>
  <c r="J14" i="12"/>
  <c r="H14" i="12"/>
  <c r="J13" i="12"/>
  <c r="H13" i="12"/>
  <c r="J12" i="12"/>
  <c r="H12" i="12"/>
  <c r="H11" i="12"/>
  <c r="J11" i="12" s="1"/>
  <c r="H10" i="12"/>
  <c r="J10" i="12" s="1"/>
  <c r="H9" i="12"/>
  <c r="J9" i="12" s="1"/>
  <c r="H8" i="12"/>
  <c r="J8" i="12" s="1"/>
  <c r="H21" i="12" s="1"/>
  <c r="I24" i="11"/>
  <c r="I23" i="11"/>
  <c r="I22" i="11"/>
  <c r="I21" i="11"/>
  <c r="I20" i="11"/>
  <c r="I19" i="11"/>
  <c r="I18" i="11"/>
  <c r="I17" i="11"/>
  <c r="I16" i="11"/>
  <c r="I15" i="11"/>
  <c r="I14" i="11"/>
  <c r="I13" i="11"/>
  <c r="I12" i="11"/>
  <c r="I11" i="11"/>
  <c r="I10" i="11"/>
  <c r="I9" i="11"/>
  <c r="I8" i="11"/>
  <c r="I7" i="11"/>
  <c r="D19" i="10"/>
  <c r="H16" i="10"/>
  <c r="H15" i="10"/>
  <c r="H14" i="10"/>
  <c r="H13" i="10"/>
  <c r="H12" i="10"/>
  <c r="H11" i="10"/>
  <c r="E11" i="9"/>
  <c r="C9" i="9"/>
  <c r="E14" i="8"/>
  <c r="E12" i="8"/>
  <c r="C13" i="8" s="1"/>
  <c r="E13" i="8" s="1"/>
  <c r="C17" i="7"/>
  <c r="D23" i="6"/>
  <c r="J19" i="6"/>
  <c r="I19" i="6"/>
  <c r="G19" i="6"/>
  <c r="J18" i="6"/>
  <c r="I18" i="6"/>
  <c r="G18" i="6"/>
  <c r="J17" i="6"/>
  <c r="I17" i="6"/>
  <c r="G17" i="6"/>
  <c r="J16" i="6"/>
  <c r="I16" i="6"/>
  <c r="G16" i="6"/>
  <c r="J15" i="6"/>
  <c r="I15" i="6"/>
  <c r="G15" i="6"/>
  <c r="J14" i="6"/>
  <c r="I14" i="6"/>
  <c r="G14" i="6"/>
  <c r="J13" i="6"/>
  <c r="I13" i="6"/>
  <c r="G13" i="6"/>
  <c r="J12" i="6"/>
  <c r="I12" i="6"/>
  <c r="G12" i="6"/>
  <c r="F17" i="5"/>
  <c r="C25" i="3"/>
  <c r="C24" i="3"/>
  <c r="C25" i="2"/>
</calcChain>
</file>

<file path=xl/sharedStrings.xml><?xml version="1.0" encoding="utf-8"?>
<sst xmlns="http://schemas.openxmlformats.org/spreadsheetml/2006/main" count="913" uniqueCount="567">
  <si>
    <t>NORTH COAL STATE OWNED CORPORATION</t>
  </si>
  <si>
    <t>ERP FORMS &amp; STANDARD TEMPLATES - INVENTORY AND WAREHOUSE MANAGEMENT MODULE</t>
  </si>
  <si>
    <t>Developer pack accompanying the approved System Architecture &amp; BPR Report (20 September 2026)  |  Prepared by Crest Point Consulting Group  |  Version 1.0</t>
  </si>
  <si>
    <t>COLOUR LEGEND</t>
  </si>
  <si>
    <t>Yellow</t>
  </si>
  <si>
    <t>Field entered by a user (blue text = example data shown for illustration)</t>
  </si>
  <si>
    <t>Grey</t>
  </si>
  <si>
    <t>Auto-populated / auto-calculated by the system</t>
  </si>
  <si>
    <t>Light grey</t>
  </si>
  <si>
    <t>Not applicable on this form</t>
  </si>
  <si>
    <t>Navy</t>
  </si>
  <si>
    <t>Section / column headers and signature-block titles</t>
  </si>
  <si>
    <t>Form Code</t>
  </si>
  <si>
    <t>Sheet (click to open)</t>
  </si>
  <si>
    <t>Purpose</t>
  </si>
  <si>
    <t>Source in approved report</t>
  </si>
  <si>
    <t>IN-01</t>
  </si>
  <si>
    <t>IN-01 Item Request</t>
  </si>
  <si>
    <t>Item Request Form with Dept Head / Director-confirmation chain and Inventory Officer stock check</t>
  </si>
  <si>
    <t>4.2.2 Item Request and Issuance Workflow</t>
  </si>
  <si>
    <t>IN-02</t>
  </si>
  <si>
    <t>IN-02 Store Issuance</t>
  </si>
  <si>
    <t>Store Issuance Form with automatic consumable / non-consumable treatment</t>
  </si>
  <si>
    <t>4.2.2 Scenario 1</t>
  </si>
  <si>
    <t>IN-03</t>
  </si>
  <si>
    <t>IN-03 Asset Handover</t>
  </si>
  <si>
    <t>Asset - In Use record: employee name, position, department, date</t>
  </si>
  <si>
    <t>4.2.2 Non-Consumable Items</t>
  </si>
  <si>
    <t>IN-04</t>
  </si>
  <si>
    <t>IN-04 Purchase Request</t>
  </si>
  <si>
    <t>Purchase Request Form (replaces manual FS-9) and transfer to Procurement</t>
  </si>
  <si>
    <t>4.2.2 Scenario 2</t>
  </si>
  <si>
    <t>IN-05</t>
  </si>
  <si>
    <t>IN-05 Goods Receipt Note</t>
  </si>
  <si>
    <t>GRN with automatic discrepancy flag and posting by item category</t>
  </si>
  <si>
    <t>4.2.2 Goods Receipt from Procurement</t>
  </si>
  <si>
    <t>IN-06</t>
  </si>
  <si>
    <t>IN-06 IC GRN Verification</t>
  </si>
  <si>
    <t>Mandatory Internal Control verify / reject record at GRN stage</t>
  </si>
  <si>
    <t>4.2.2 Internal Control Verification</t>
  </si>
  <si>
    <t>IN-07</t>
  </si>
  <si>
    <t>IN-07 Fixed Asset Entry</t>
  </si>
  <si>
    <t>Fixed asset registration with mandatory fields and Land rate lock</t>
  </si>
  <si>
    <t>4.2.2 Fixed Assets Received through Procurement</t>
  </si>
  <si>
    <t>IN-08</t>
  </si>
  <si>
    <t>IN-08 Depreciation Rate Change</t>
  </si>
  <si>
    <t>Formal rate adjustment record (original, new, reason, effective date)</t>
  </si>
  <si>
    <t>4.2.2 Depreciation Control</t>
  </si>
  <si>
    <t>IN-09</t>
  </si>
  <si>
    <t>IN-09 Loss &amp; Write-Down</t>
  </si>
  <si>
    <t>Loss, wastage and write-down to net realizable value with Head approval</t>
  </si>
  <si>
    <t>4.2.2 Residual Value and Inventory Write-Down</t>
  </si>
  <si>
    <t>IN-10</t>
  </si>
  <si>
    <t>IN-10 Item Master</t>
  </si>
  <si>
    <t>Supporting item master (type, unit, minimum threshold, default expense account)</t>
  </si>
  <si>
    <t>Derived from 4.2.2 (item types, thresholds)</t>
  </si>
  <si>
    <t>IN-11</t>
  </si>
  <si>
    <t>IN-11 Stock Level &amp; Alerts</t>
  </si>
  <si>
    <t>Live stock report layout with low-stock alert logic</t>
  </si>
  <si>
    <t>4.2.2 Real-Time Inventory Visibility</t>
  </si>
  <si>
    <t>IN-12</t>
  </si>
  <si>
    <t>IN-12 Approval Matrix</t>
  </si>
  <si>
    <t>Who prepares, approves and verifies each form</t>
  </si>
  <si>
    <t>4.2.3 System Roles and Access Permissions</t>
  </si>
  <si>
    <t>IN-13</t>
  </si>
  <si>
    <t>IN-13 Accounting Entries</t>
  </si>
  <si>
    <t>Automatic background double-entries for the module</t>
  </si>
  <si>
    <t>4.2.4 Accounting Entries - Developer Reference</t>
  </si>
  <si>
    <t>IN-14</t>
  </si>
  <si>
    <t>IN-14 Reports Spec</t>
  </si>
  <si>
    <t>Required inventory reports, frequency and filters</t>
  </si>
  <si>
    <t>4.2.4 Required Reports</t>
  </si>
  <si>
    <t>IN-15</t>
  </si>
  <si>
    <t>IN-15 Correction Request</t>
  </si>
  <si>
    <t>Standard officer correction request and Department Head decision</t>
  </si>
  <si>
    <t>4.2.2 Officer Correction Request Workflow</t>
  </si>
  <si>
    <t>DESIGN RULES THAT APPLY TO EVERY FORM</t>
  </si>
  <si>
    <t>1. Single currency: Afghan Afghani (AFN) only.</t>
  </si>
  <si>
    <t>2. Executive Director and Directors have NO system access. Director approvals are physical, filed in hard copy and recorded by department staff, so printed forms carry no ED / Director signature block.</t>
  </si>
  <si>
    <t>3. Signature blocks: Prepared by (Inventory Officer), Reviewed by (Inventory Department Head), Verified by (Internal Control) on the GRN, where IC verification is mandatory. Issuance and handover forms add a Received by block for the employee.</t>
  </si>
  <si>
    <t>4. Internal Control verification in this module is positioned at the GRN stage only; IC otherwise has read-only access to all inventory records and the Control Log.</t>
  </si>
  <si>
    <t>5. Officers can never edit or delete a submitted entry; corrections follow IN-15. Every action is written to the Control Log (layout FA-18 in the Finance workbook), which no user can alter.</t>
  </si>
  <si>
    <t>6. All inventory entries post to the ledger automatically (IN-13) - Finance staff make no manual journal entry.</t>
  </si>
  <si>
    <t>7. Item codes, quantities, values, rates and names in these sheets are illustrative examples only.</t>
  </si>
  <si>
    <t>[Corporation logo]</t>
  </si>
  <si>
    <t>ITEM REQUEST FORM</t>
  </si>
  <si>
    <t>Form IN-01  |  Version 1.0  |  Raised in the ERP by any department Officer</t>
  </si>
  <si>
    <t>A. REQUEST DETAILS</t>
  </si>
  <si>
    <t>Request No.</t>
  </si>
  <si>
    <t>IR-2026-001205</t>
  </si>
  <si>
    <t>Date Submitted</t>
  </si>
  <si>
    <t>Requesting Department</t>
  </si>
  <si>
    <t>Administration</t>
  </si>
  <si>
    <t>Second Unit / HQ</t>
  </si>
  <si>
    <t>HQ</t>
  </si>
  <si>
    <t>Requested By (Officer)</t>
  </si>
  <si>
    <t>ADM-OFF-01</t>
  </si>
  <si>
    <t>Request Status</t>
  </si>
  <si>
    <t>Approved - routed to Inventory Officer</t>
  </si>
  <si>
    <t>No.</t>
  </si>
  <si>
    <t>Item Code</t>
  </si>
  <si>
    <t>Item Description</t>
  </si>
  <si>
    <t>Quantity Required</t>
  </si>
  <si>
    <t>Unit of Measure</t>
  </si>
  <si>
    <t>STA-001</t>
  </si>
  <si>
    <t>A4 paper (box of 5 reams)</t>
  </si>
  <si>
    <t>Office printing and copying</t>
  </si>
  <si>
    <t>Box</t>
  </si>
  <si>
    <t>STA-014</t>
  </si>
  <si>
    <t>Printer toner cartridge</t>
  </si>
  <si>
    <t>Replacement for HQ printers</t>
  </si>
  <si>
    <t>Piece</t>
  </si>
  <si>
    <t>B. APPROVAL CHAIN</t>
  </si>
  <si>
    <t>Department Head Decision (in system)</t>
  </si>
  <si>
    <t>Approved</t>
  </si>
  <si>
    <t>Decision Date</t>
  </si>
  <si>
    <t>Director Physical Approval Ref.
(hard file)</t>
  </si>
  <si>
    <t>DIR-APR-2026-0457</t>
  </si>
  <si>
    <t>Director Approval Date (physical)</t>
  </si>
  <si>
    <t>Confirmation Recorded in ERP By</t>
  </si>
  <si>
    <t>Requesting department staff</t>
  </si>
  <si>
    <t>Recorded On</t>
  </si>
  <si>
    <t>C. INVENTORY OFFICER STOCK CHECK</t>
  </si>
  <si>
    <t>Stock Check Result</t>
  </si>
  <si>
    <t>Available in stock</t>
  </si>
  <si>
    <t>Checked By / On</t>
  </si>
  <si>
    <t>INV-OFF-01 / 12-Oct-2026</t>
  </si>
  <si>
    <t>System Outcome</t>
  </si>
  <si>
    <t>REQUESTED BY
(Requesting Officer)</t>
  </si>
  <si>
    <t>APPROVED BY
(Requesting Department Head)</t>
  </si>
  <si>
    <t>STOCK CHECK BY
(Inventory Officer)</t>
  </si>
  <si>
    <t>Name:</t>
  </si>
  <si>
    <t>Position:</t>
  </si>
  <si>
    <t>Signature:</t>
  </si>
  <si>
    <t>Date:</t>
  </si>
  <si>
    <t>NOTES FOR DEVELOPERS</t>
  </si>
  <si>
    <t>1. Mandatory content of the request: item description, quantity required, purpose and requesting department. A submitted request cannot be edited by the Officer; corrections follow IN-15.</t>
  </si>
  <si>
    <t>2. Routing: Requesting Officer -&gt; Requesting Department Head (system approval) -&gt; Director (physical, recorded by staff) -&gt; Inventory Officer. The Officer cannot approve their own request.</t>
  </si>
  <si>
    <t>3. Executive Director / Director approvals are obtained physically, filed in the hard-copy file, and recorded in the ERP as confirmation entries by the requesting department staff. The ED and Directors have no system access, so no ED / Director signature block appears on any printed form.</t>
  </si>
  <si>
    <t>4. Name, position and date may be pre-filled by the system from the Control Log; signatures are by hand so the printed form can be archived in the hard file with the attached physical documents.</t>
  </si>
  <si>
    <t>STORE ISSUANCE FORM</t>
  </si>
  <si>
    <t>Form IN-02  |  Version 1.0  |  Generated in the system by the Inventory Officer</t>
  </si>
  <si>
    <t>A. ISSUANCE DETAILS</t>
  </si>
  <si>
    <t>Issuance No.</t>
  </si>
  <si>
    <t>SI-000214</t>
  </si>
  <si>
    <t>Date of Issuance</t>
  </si>
  <si>
    <t>Item Request Ref.</t>
  </si>
  <si>
    <t>Store Location</t>
  </si>
  <si>
    <t>HQ Store</t>
  </si>
  <si>
    <t>Issued By (Officer)</t>
  </si>
  <si>
    <t>INV-OFF-01</t>
  </si>
  <si>
    <t>B. ITEMS ISSUED</t>
  </si>
  <si>
    <t>Item Type</t>
  </si>
  <si>
    <t>Quantity Issued</t>
  </si>
  <si>
    <t>Consumable</t>
  </si>
  <si>
    <t>EQP-020</t>
  </si>
  <si>
    <t>Laptop computer</t>
  </si>
  <si>
    <t>Non-consumable</t>
  </si>
  <si>
    <t>C. RECEIVING EMPLOYEE</t>
  </si>
  <si>
    <t>Full Name of Receiving Employee</t>
  </si>
  <si>
    <t>Example Employee</t>
  </si>
  <si>
    <t>Position</t>
  </si>
  <si>
    <t>Administration Officer</t>
  </si>
  <si>
    <t>Department</t>
  </si>
  <si>
    <t>Date Received</t>
  </si>
  <si>
    <t>D. AUTOMATIC ACCOUNTING TREATMENT (by item type - no manual journal entry)</t>
  </si>
  <si>
    <t>Consumable lines</t>
  </si>
  <si>
    <t>Non-consumable lines</t>
  </si>
  <si>
    <t>Status</t>
  </si>
  <si>
    <t>Pending Inventory Department Head review</t>
  </si>
  <si>
    <t>ISSUED BY
(Inventory Officer)</t>
  </si>
  <si>
    <t>REVIEWED BY
(Inventory Department Head)</t>
  </si>
  <si>
    <t>RECEIVED BY
(Receiving Employee)</t>
  </si>
  <si>
    <t>1. The Inventory Officer cannot approve their own issuance; every Store Issuance Form must be reviewed by the Inventory Department Head.</t>
  </si>
  <si>
    <t>2. Mandatory content: item description, quantity issued, requesting department, name and position of the receiving employee, date of issuance. Item type drives the accounting treatment automatically.</t>
  </si>
  <si>
    <t>3. Consumables (stationery, fuel, cleaning materials, spare parts, etc.) are expensed on confirmed issuance. Non-consumables (computers, equipment, tools, furniture, etc.) become Asset - In Use and create an Asset Handover Record.</t>
  </si>
  <si>
    <t>4. No Internal Control verification step on issuance; IC has read-only access to all inventory records. Name, position and date may be pre-filled by the system from the Control Log; signatures are by hand so the printed form can be archived in the hard file with the attached physical documents.</t>
  </si>
  <si>
    <t>5. Executive Director / Director approvals are obtained physically, filed in the hard-copy file, and recorded in the ERP as confirmation entries by the requesting department staff. The ED and Directors have no system access, so no ED / Director signature block appears on any printed form.</t>
  </si>
  <si>
    <t>ASSET HANDOVER RECORD (NON-CONSUMABLE ITEMS)</t>
  </si>
  <si>
    <t>Form IN-03  |  Version 1.0  |  Auto-created from a non-consumable line on the Store Issuance Form</t>
  </si>
  <si>
    <t>A. HANDOVER DETAILS</t>
  </si>
  <si>
    <t>Handover No.</t>
  </si>
  <si>
    <t>AH-000087</t>
  </si>
  <si>
    <t>Date of Handover</t>
  </si>
  <si>
    <t>Store Issuance Ref.</t>
  </si>
  <si>
    <t>Asset ID</t>
  </si>
  <si>
    <t>AST-000312</t>
  </si>
  <si>
    <t>B. EMPLOYEE HOLDING THE ASSET</t>
  </si>
  <si>
    <t>Employee Full Name</t>
  </si>
  <si>
    <t>C. SYSTEM RECORD</t>
  </si>
  <si>
    <t>Asset Status</t>
  </si>
  <si>
    <t>Asset - In Use</t>
  </si>
  <si>
    <t>Accounting Entry (auto)</t>
  </si>
  <si>
    <t>Dr Asset - In Use Account / Cr Inventory Account</t>
  </si>
  <si>
    <t>Traceability</t>
  </si>
  <si>
    <t>Item listed in the Non-Consumable Asset Register under this employee until returned or written off</t>
  </si>
  <si>
    <t>HANDED OVER BY
(Inventory Officer)</t>
  </si>
  <si>
    <t>RECEIVED BY
(Employee)</t>
  </si>
  <si>
    <t>1. Purpose: a fully traceable record of which items are with which employees at all times, so the Inventory Officer can verify asset locations across the organization.</t>
  </si>
  <si>
    <t>2. Fields captured by the approved design: employee full name, position, department and date of handover. Asset ID and Item Code are system references added so each record is unique.</t>
  </si>
  <si>
    <t>3. Name, position and date may be pre-filled by the system from the Control Log; signatures are by hand so the printed form can be archived in the hard file with the attached physical documents.</t>
  </si>
  <si>
    <t>PURCHASE REQUEST FORM (replaces manual FS-9)</t>
  </si>
  <si>
    <t>Form IN-04  |  Version 1.0  |  Raised when a requested item is not available in stock</t>
  </si>
  <si>
    <t>Purchase Request No.</t>
  </si>
  <si>
    <t>PR-2026-0312</t>
  </si>
  <si>
    <t>Inventory &amp; Warehouse</t>
  </si>
  <si>
    <t>Linked Item Request Ref.</t>
  </si>
  <si>
    <t>IR-2026-001190</t>
  </si>
  <si>
    <t>Raised By (Officer)</t>
  </si>
  <si>
    <t>Justification</t>
  </si>
  <si>
    <t>Estimated Cost (AFN)</t>
  </si>
  <si>
    <t>Diesel fuel (litres) - generators</t>
  </si>
  <si>
    <t>Stock below minimum; needed for site power</t>
  </si>
  <si>
    <t>TOTAL ESTIMATED COST (AFN)</t>
  </si>
  <si>
    <t>B. APPROVAL AND ROUTING</t>
  </si>
  <si>
    <t>DIR-APR-2026-0449</t>
  </si>
  <si>
    <t>Inventory department staff</t>
  </si>
  <si>
    <t>Budget Check Status (Finance - see FA-09)</t>
  </si>
  <si>
    <t>Budget exists - confirmed</t>
  </si>
  <si>
    <t>Transferred to Procurement</t>
  </si>
  <si>
    <t>Transferred On</t>
  </si>
  <si>
    <t>PREPARED BY
(Requesting Officer)</t>
  </si>
  <si>
    <t>1. Mandatory content: item description, quantity required, justification, estimated cost and requesting department.</t>
  </si>
  <si>
    <t>2. Once all approvals are recorded the request is formally transferred to Procurement. From that point supplier selection and purchasing run in hard copy outside the ERP; the ERP is used again when goods are delivered (see IN-05).</t>
  </si>
  <si>
    <t>3. The Budget Check Status field links this form to the Finance budget gate (FA-09). The Finance specification routes every purchase request through that check; the Inventory specification lists only Head and Director approval. Confirm the exact sequence with the report owner before development.</t>
  </si>
  <si>
    <t>4. Executive Director / Director approvals are obtained physically, filed in the hard-copy file, and recorded in the ERP as confirmation entries by the requesting department staff. The ED and Directors have no system access, so no ED / Director signature block appears on any printed form.</t>
  </si>
  <si>
    <t>5. Name, position and date may be pre-filled by the system from the Control Log; signatures are by hand so the printed form can be archived in the hard file with the attached physical documents.</t>
  </si>
  <si>
    <t>GOODS RECEIPT NOTE (GRN)</t>
  </si>
  <si>
    <t>Form IN-05  |  Version 1.0  |  Drafted by the Inventory Officer; mandatory Internal Control verification</t>
  </si>
  <si>
    <t>A. RECEIPT DETAILS</t>
  </si>
  <si>
    <t>GRN No.</t>
  </si>
  <si>
    <t>GRN-2026-000233</t>
  </si>
  <si>
    <t>Date of Receipt</t>
  </si>
  <si>
    <t>Supplier Name</t>
  </si>
  <si>
    <t>Example Supplier Co.</t>
  </si>
  <si>
    <t>Purchase Order Ref.</t>
  </si>
  <si>
    <t>PO-2026-0045</t>
  </si>
  <si>
    <t>Approved Purchase Request Ref.</t>
  </si>
  <si>
    <t>PR-2026-0298</t>
  </si>
  <si>
    <t>Second Unit / HQ (receiving store)</t>
  </si>
  <si>
    <t>Received By (Officer)</t>
  </si>
  <si>
    <t>GRN Status</t>
  </si>
  <si>
    <t>Pending IC verification</t>
  </si>
  <si>
    <t>Item Category</t>
  </si>
  <si>
    <t>Qty Ordered</t>
  </si>
  <si>
    <t>Qty Received</t>
  </si>
  <si>
    <t>Variance</t>
  </si>
  <si>
    <t>Condition of Goods</t>
  </si>
  <si>
    <t>Discrepancy Check (auto)</t>
  </si>
  <si>
    <t>Accounting Entry (posts when GRN is fully complete)</t>
  </si>
  <si>
    <t>STA-030</t>
  </si>
  <si>
    <t>Printer toner (box)</t>
  </si>
  <si>
    <t>Expense item</t>
  </si>
  <si>
    <t>Good</t>
  </si>
  <si>
    <t>LUB-004</t>
  </si>
  <si>
    <t>Hydraulic oil (drum)</t>
  </si>
  <si>
    <t>Asset item</t>
  </si>
  <si>
    <t>Good - 2 drums short</t>
  </si>
  <si>
    <t>Desktop computer</t>
  </si>
  <si>
    <t>Fixed asset</t>
  </si>
  <si>
    <t>B. AUTOMATIC MATCHING AND NEXT STEP</t>
  </si>
  <si>
    <t>Matched against approved Purchase Request</t>
  </si>
  <si>
    <t>Yes</t>
  </si>
  <si>
    <t>Matched against Purchase Order</t>
  </si>
  <si>
    <t>System result</t>
  </si>
  <si>
    <t>PREPARED BY
(Inventory Officer)</t>
  </si>
  <si>
    <t>VERIFIED BY
(Internal Control &amp; Audit)</t>
  </si>
  <si>
    <t>1. Mandatory content: supplier name, purchase order reference, item description, quantity ordered, quantity received, condition of goods and date of receipt.</t>
  </si>
  <si>
    <t>2. Discrepancies between ordered and received quantities are flagged automatically and must be resolved by the Inventory Officer before the GRN is finalized.</t>
  </si>
  <si>
    <t>3. When IC marks the GRN fully complete the system updates the inventory balance, sends the "Awaiting Payment" notification to Finance and posts the entry shown. Item Category is selected per line to pick the right posting (Expense item / Asset item / Fixed asset).</t>
  </si>
  <si>
    <t>4. Land and buildings are recorded by the Properties department, not through this GRN. Name, position and date may be pre-filled by the system from the Control Log; signatures are by hand so the printed form can be archived in the hard file with the attached physical documents.</t>
  </si>
  <si>
    <t>INTERNAL CONTROL VERIFICATION RECORD - GOODS RECEIPT NOTE</t>
  </si>
  <si>
    <t>Form IN-06  |  Version 1.0  |  The only mandatory IC gate in the Inventory module</t>
  </si>
  <si>
    <t>Verification No.</t>
  </si>
  <si>
    <t>ICV-2026-000419</t>
  </si>
  <si>
    <t>Date Received by IC</t>
  </si>
  <si>
    <t>Supplier</t>
  </si>
  <si>
    <t>Re-verification Round</t>
  </si>
  <si>
    <t>1</t>
  </si>
  <si>
    <t>Drafted By</t>
  </si>
  <si>
    <t>VERIFICATION CHECKLIST</t>
  </si>
  <si>
    <t>Check</t>
  </si>
  <si>
    <t>Result</t>
  </si>
  <si>
    <t>Document Ref. / Comment</t>
  </si>
  <si>
    <t>Goods physically inspected by Internal Control and matched against the system entries</t>
  </si>
  <si>
    <t>Quantities received are correct against the purchase order</t>
  </si>
  <si>
    <t>No</t>
  </si>
  <si>
    <t>2 hydraulic oil drums short</t>
  </si>
  <si>
    <t>Condition of goods is as recorded on the GRN</t>
  </si>
  <si>
    <t>GRN is consistent with the approved purchase request and the purchase order</t>
  </si>
  <si>
    <t>Outcome (system rule)</t>
  </si>
  <si>
    <t>Final Outcome (IC decision)</t>
  </si>
  <si>
    <t>Rejected</t>
  </si>
  <si>
    <t>IC Comments
(mandatory if Rejected)</t>
  </si>
  <si>
    <t>Two hydraulic oil drums short against PO; GRN to be corrected or shortfall documented. EXAMPLE DATA.</t>
  </si>
  <si>
    <t>If Rejected</t>
  </si>
  <si>
    <t>Automatic notification with IC comments -&gt; Inventory Department Head unlocks the GRN -&gt; Inventory Officer notified -&gt; Officer corrects and resubmits to Head -&gt; Head re-approves -&gt; routed back to IC for final re-verification.</t>
  </si>
  <si>
    <t>If Verified</t>
  </si>
  <si>
    <t>GRN marked fully complete -&gt; inventory balance updated -&gt; "Awaiting Payment" notification sent to Finance -&gt; entry posted (see IN-05).</t>
  </si>
  <si>
    <t>1. IC has read-only access: it can only Verify or Reject (comments mandatory on rejection). Rejection means any quantity, condition or document that is not perfectly aligned.</t>
  </si>
  <si>
    <t>2. All verifications, rejections and re-verifications are written to the Control Log (FA-18).</t>
  </si>
  <si>
    <t>FIXED ASSET REGISTRATION FORM</t>
  </si>
  <si>
    <t>Form IN-07  |  Version 1.0  |  Fixed assets received through procurement (excluding land and buildings)</t>
  </si>
  <si>
    <t>A. ASSET DETAILS</t>
  </si>
  <si>
    <t>AST-000313</t>
  </si>
  <si>
    <t>Asset Description</t>
  </si>
  <si>
    <t>Desktop computer - Dell (example)</t>
  </si>
  <si>
    <t>Asset Class</t>
  </si>
  <si>
    <t>Office Equipment</t>
  </si>
  <si>
    <t>Purchase Order Ref.
(auto-linked from confirmed GRN)</t>
  </si>
  <si>
    <t>GRN Ref.</t>
  </si>
  <si>
    <t>Date of Acquisition
(GRN confirmed)</t>
  </si>
  <si>
    <t>Acquisition Cost (AFN)
(per purchase invoice)</t>
  </si>
  <si>
    <t>B. DEPRECIATION</t>
  </si>
  <si>
    <t>Depreciation Rate Selected (% p.a.)
(by Inventory Officer)</t>
  </si>
  <si>
    <t>Effective Rate (% p.a.)</t>
  </si>
  <si>
    <t>Annual Depreciation (AFN)</t>
  </si>
  <si>
    <t>Monthly Depreciation (AFN)
illustrative: cost x rate / 12</t>
  </si>
  <si>
    <t>Depreciation Starts</t>
  </si>
  <si>
    <t>Period following acquisition (Nov-2026)</t>
  </si>
  <si>
    <t>Rate Field Lock</t>
  </si>
  <si>
    <t>Monthly Auto-Posting</t>
  </si>
  <si>
    <t>Dr Depreciation Expense / Cr Accumulated Depreciation - automatic every month, all asset classes, managed by the Inventory module</t>
  </si>
  <si>
    <t>1. Mandatory fields (per approved design): Asset Class, Acquisition Cost, Date of Acquisition, Purchase Order Reference, Depreciation Rate. Asset ID and description are system references added so each asset is unique.</t>
  </si>
  <si>
    <t>2. Land is a zero-depreciation class: selecting Land locks the rate field at 0 and it cannot be edited. Buildings recorded by Properties also get their rate set here by the Inventory department.</t>
  </si>
  <si>
    <t>3. The approved report does not state the depreciation method (straight-line or reducing balance). The monthly figure above assumes straight-line for illustration only - confirm the method before development.</t>
  </si>
  <si>
    <t>4. Asset classes beyond the five listed are defined by the Finance Department Head. Example cost and rate are illustrative.</t>
  </si>
  <si>
    <t>DEPRECIATION RATE ADJUSTMENT RECORD</t>
  </si>
  <si>
    <t>Form IN-08  |  Version 1.0  |  Authority: Inventory Department Head</t>
  </si>
  <si>
    <t>A. ADJUSTMENT DETAILS</t>
  </si>
  <si>
    <t>Adjustment No.</t>
  </si>
  <si>
    <t>DRA-2026-000012</t>
  </si>
  <si>
    <t>Date Recorded</t>
  </si>
  <si>
    <t>Asset ID (optional - blank = whole class)</t>
  </si>
  <si>
    <t>Original Rate (% p.a.)</t>
  </si>
  <si>
    <t>New Rate (% p.a.)</t>
  </si>
  <si>
    <t>Change (percentage points)</t>
  </si>
  <si>
    <t>Effective Date</t>
  </si>
  <si>
    <t>Reason for Change</t>
  </si>
  <si>
    <t>Useful life reassessed after annual review of equipment condition. EXAMPLE DATA.</t>
  </si>
  <si>
    <t>Backdated Correction Required?</t>
  </si>
  <si>
    <t>Financial Posting</t>
  </si>
  <si>
    <t>Control Log</t>
  </si>
  <si>
    <t>Original rate, new rate, reason and effective date permanently recorded in the Control Log</t>
  </si>
  <si>
    <t>AUTHORIZED BY
(Inventory Department Head)</t>
  </si>
  <si>
    <t>1. Only the Inventory Department Head can review, adjust and approve depreciation rates across all asset classes, including buildings recorded by Properties.</t>
  </si>
  <si>
    <t>2. A rate change creates a Control Log entry only; no financial posting is made unless a backdated correction is required.</t>
  </si>
  <si>
    <t>INVENTORY LOSS, WASTAGE AND WRITE-DOWN RECORD</t>
  </si>
  <si>
    <t>Form IN-09  |  Version 1.0  |  Posts only after Inventory Department Head approval</t>
  </si>
  <si>
    <t>A. RECORD DETAILS</t>
  </si>
  <si>
    <t>Record No.</t>
  </si>
  <si>
    <t>LW-2026-000031</t>
  </si>
  <si>
    <t>Date Identified</t>
  </si>
  <si>
    <t>Recorded By (Officer)</t>
  </si>
  <si>
    <t>Treatment Requested</t>
  </si>
  <si>
    <t>Write-down to NRV</t>
  </si>
  <si>
    <t>Pending Head review</t>
  </si>
  <si>
    <t>Qty Affected</t>
  </si>
  <si>
    <t>Reason</t>
  </si>
  <si>
    <t>Carrying Value (AFN)</t>
  </si>
  <si>
    <t>Estimated Net Realizable / Residual Value (AFN)</t>
  </si>
  <si>
    <t>Loss to Recognize (AFN)</t>
  </si>
  <si>
    <t>Hydraulic oil (drum) - water contaminated</t>
  </si>
  <si>
    <t>Partially deteriorated - can be sold at reduced price</t>
  </si>
  <si>
    <t>TOTAL LOSS TO RECOGNIZE (AFN)</t>
  </si>
  <si>
    <t>B. AUTOMATIC ACCOUNTING (posted only after approval)</t>
  </si>
  <si>
    <t>Entry</t>
  </si>
  <si>
    <t>Inventory Department Head Decision</t>
  </si>
  <si>
    <t>REVIEWED / AUTHORIZED BY
(Inventory Department Head)</t>
  </si>
  <si>
    <t>1. Officers can record losses, wastage and write-downs only within defined thresholds; the Inventory Department Head reviews and authorizes every write-off and write-down before posting.</t>
  </si>
  <si>
    <t>2. Write-down option: for partially deteriorated items the carrying value is reduced to estimated net realizable value instead of writing the item off entirely (write-off = residual value 0).</t>
  </si>
  <si>
    <t>3. Required content: item, quantity, reason and estimated or residual value. Name, position and date may be pre-filled by the system from the Control Log; signatures are by hand so the printed form can be archived in the hard file with the attached physical documents.</t>
  </si>
  <si>
    <t>ITEM MASTER TEMPLATE</t>
  </si>
  <si>
    <t>Supporting template - item type drives accounting; minimum threshold drives low-stock alerts</t>
  </si>
  <si>
    <t>Supporting template derived from the approved design (item type, categories and minimum stock threshold are specified there; the item master layout itself is a developer-facing addition). Codes and values are illustrative.</t>
  </si>
  <si>
    <t>Category</t>
  </si>
  <si>
    <t>Minimum Stock Threshold</t>
  </si>
  <si>
    <t>Default Expense Account (consumables)</t>
  </si>
  <si>
    <t>Rule Check (system)</t>
  </si>
  <si>
    <t>Stationery</t>
  </si>
  <si>
    <t>6500 - Office Supplies Expense</t>
  </si>
  <si>
    <t>Active</t>
  </si>
  <si>
    <t>FUE-001</t>
  </si>
  <si>
    <t>Diesel fuel</t>
  </si>
  <si>
    <t>Fuel</t>
  </si>
  <si>
    <t>Litre</t>
  </si>
  <si>
    <t>6510 - Fuel Expense</t>
  </si>
  <si>
    <t>FUE-002</t>
  </si>
  <si>
    <t>Petrol</t>
  </si>
  <si>
    <t>SPR-010</t>
  </si>
  <si>
    <t>Vehicle battery</t>
  </si>
  <si>
    <t>Spare parts</t>
  </si>
  <si>
    <t>6520 - Vehicle Repairs Expense</t>
  </si>
  <si>
    <t>Office equipment</t>
  </si>
  <si>
    <t>FUR-005</t>
  </si>
  <si>
    <t>Office desk</t>
  </si>
  <si>
    <t>Furniture</t>
  </si>
  <si>
    <t>TLS-003</t>
  </si>
  <si>
    <t>Hand tool set</t>
  </si>
  <si>
    <t>Tools</t>
  </si>
  <si>
    <t>Set</t>
  </si>
  <si>
    <t>1. Consumable items are expensed on issuance (Dr Relevant Expense / Cr Inventory); non-consumables become Asset - In Use on handover. The item type therefore must be set when the item is created.</t>
  </si>
  <si>
    <t>2. Every item has a minimum stock threshold; when the balance falls below it the system alerts the Inventory Officer to start a replenishment request (see IN-11).</t>
  </si>
  <si>
    <t>CURRENT STOCK LEVEL REPORT WITH LOW-STOCK ALERT</t>
  </si>
  <si>
    <t>Standard report layout (header/footer as FA-16)  |  Live balances across HQ and all Second Units</t>
  </si>
  <si>
    <t>Date Range</t>
  </si>
  <si>
    <t>01-Oct-2026 to 31-Oct-2026</t>
  </si>
  <si>
    <t>Generated On / By</t>
  </si>
  <si>
    <t>14-Oct-2026 10:15 / INV-HEAD-01</t>
  </si>
  <si>
    <t>Location</t>
  </si>
  <si>
    <t>Opening Qty</t>
  </si>
  <si>
    <t>Received Qty</t>
  </si>
  <si>
    <t>Issued Qty</t>
  </si>
  <si>
    <t>Written-off Qty</t>
  </si>
  <si>
    <t>Closing Balance</t>
  </si>
  <si>
    <t>Minimum Threshold</t>
  </si>
  <si>
    <t>Alert (auto)</t>
  </si>
  <si>
    <t>Second Unit A</t>
  </si>
  <si>
    <t>Second Unit B</t>
  </si>
  <si>
    <t>Items below minimum threshold</t>
  </si>
  <si>
    <t>1. The system maintains a live balance for all items at HQ and every Second Unit. Department Heads and the Inventory Officer can see current stock, recent movements and pending requests at any time.</t>
  </si>
  <si>
    <t>2. The low-stock alert is generated automatically per item/location when the balance drops below its minimum threshold. Closing balance formula (Opening + Received - Issued - Written-off) is illustrative of the movement logic.</t>
  </si>
  <si>
    <t>3. Quantities in this example are illustrative. Standard report requirements: corporation name and logo, title, date range, generation timestamp, generating user; export to PDF and Excel.</t>
  </si>
  <si>
    <t>INVENTORY APPROVAL AND VERIFICATION MATRIX</t>
  </si>
  <si>
    <t>Who prepares, approves and verifies each form; the Executive Director has no system role</t>
  </si>
  <si>
    <t>Form</t>
  </si>
  <si>
    <t>Initiated / Prepared By</t>
  </si>
  <si>
    <t>Department Head Action</t>
  </si>
  <si>
    <t>Director (physical, outside system)</t>
  </si>
  <si>
    <t>Internal Control (read-only)</t>
  </si>
  <si>
    <t>Automatic System Action</t>
  </si>
  <si>
    <t>Requesting department Officer</t>
  </si>
  <si>
    <t>Requesting Dept Head approves or rejects in system</t>
  </si>
  <si>
    <t>Approval obtained by staff, filed, recorded in ERP by staff</t>
  </si>
  <si>
    <t>None</t>
  </si>
  <si>
    <t>Routes to Inventory Officer after approvals; stock check follows</t>
  </si>
  <si>
    <t>Requesting Dept Head approves in system</t>
  </si>
  <si>
    <t>Transfers to Procurement after all approvals; Finance budget check per FA-09</t>
  </si>
  <si>
    <t>Inventory Officer generates and confirms</t>
  </si>
  <si>
    <t>Inventory Dept Head reviews and approves</t>
  </si>
  <si>
    <t>Consumable: Dr Expense / Cr Inventory. Non-consumable: Asset - In Use</t>
  </si>
  <si>
    <t>Inventory Officer (from issuance)</t>
  </si>
  <si>
    <t>Inventory Dept Head reviews with issuance</t>
  </si>
  <si>
    <t>Records employee, position, department, date; updates Asset Register</t>
  </si>
  <si>
    <t>Inventory Officer drafts</t>
  </si>
  <si>
    <t>Inventory Dept Head approves (and re-approves after correction)</t>
  </si>
  <si>
    <t>Mandatory: Verify or Reject at GRN stage</t>
  </si>
  <si>
    <t>Flags quantity discrepancies; on verification updates balance, notifies Finance, posts entry</t>
  </si>
  <si>
    <t>IN-06 IC Verification</t>
  </si>
  <si>
    <t>n/a</t>
  </si>
  <si>
    <t>Unlocks rejected GRN</t>
  </si>
  <si>
    <t>Verifier: physically inspects goods and matches to system and PO</t>
  </si>
  <si>
    <t>Notifies Head with IC comments on rejection</t>
  </si>
  <si>
    <t>Inventory Officer</t>
  </si>
  <si>
    <t>Inventory Dept Head reviews rate authority</t>
  </si>
  <si>
    <t>Monthly Dr Depreciation Expense / Cr Accumulated Depreciation</t>
  </si>
  <si>
    <t>Inventory Dept Head</t>
  </si>
  <si>
    <t>Reviews, adjusts and approves</t>
  </si>
  <si>
    <t>Sees in Control Log</t>
  </si>
  <si>
    <t>Control Log entry only (no posting unless backdated)</t>
  </si>
  <si>
    <t>IN-09 Loss / Write-Down</t>
  </si>
  <si>
    <t>Inventory Officer (within thresholds)</t>
  </si>
  <si>
    <t>Reviews and authorizes before posting</t>
  </si>
  <si>
    <t>Posts Loss on Inventory or Loss on Write-Down</t>
  </si>
  <si>
    <t>Approves or rejects; unlocks entry if approved</t>
  </si>
  <si>
    <t>Sees full trail in Control Log</t>
  </si>
  <si>
    <t>Notifies Officer on unlock; logs every step</t>
  </si>
  <si>
    <t>1. The Executive Director and Directors have no system access. Their approvals are physical, filed in hard copy and recorded by department staff.</t>
  </si>
  <si>
    <t>2. The System Administrator has zero access to inventory data. Officers cannot approve their own entries.</t>
  </si>
  <si>
    <t>ACCOUNTING ENTRIES - DEVELOPER REFERENCE (INVENTORY &amp; WAREHOUSE)</t>
  </si>
  <si>
    <t>All entries are posted automatically in the background - no manual journal entry by Finance staff</t>
  </si>
  <si>
    <t>#</t>
  </si>
  <si>
    <t>Trigger Event</t>
  </si>
  <si>
    <t>Debit</t>
  </si>
  <si>
    <t>Credit</t>
  </si>
  <si>
    <t>Posting Basis / Related Form</t>
  </si>
  <si>
    <t>Consumable item issued from inventory</t>
  </si>
  <si>
    <t>Relevant Expense Account</t>
  </si>
  <si>
    <t>Inventory Account</t>
  </si>
  <si>
    <t>At confirmed issuance (IN-02)</t>
  </si>
  <si>
    <t>Non-consumable item handed to employee</t>
  </si>
  <si>
    <t>At confirmed handover (IN-02 / IN-03)</t>
  </si>
  <si>
    <t>Goods received from procurement (expense items)</t>
  </si>
  <si>
    <t>Accounts Payable</t>
  </si>
  <si>
    <t>When GRN is fully complete after IC verification (IN-05)</t>
  </si>
  <si>
    <t>Goods received from procurement (asset items)</t>
  </si>
  <si>
    <t>Inventory loss or wastage recorded and verified</t>
  </si>
  <si>
    <t>Loss on Inventory Account</t>
  </si>
  <si>
    <t>After Inventory Dept Head approval (IN-09)</t>
  </si>
  <si>
    <t>Inventory write-down to net realizable value</t>
  </si>
  <si>
    <t>Loss on Write-Down Account</t>
  </si>
  <si>
    <t>Fixed asset received via procurement</t>
  </si>
  <si>
    <t>Fixed Asset Account</t>
  </si>
  <si>
    <t>When GRN is fully complete (IN-05, IN-07)</t>
  </si>
  <si>
    <t>Monthly depreciation - all asset classes (auto-posted)</t>
  </si>
  <si>
    <t>Depreciation Expense</t>
  </si>
  <si>
    <t>Accumulated Depreciation</t>
  </si>
  <si>
    <t>Automatic every month from the period following acquisition (IN-07)</t>
  </si>
  <si>
    <t>Depreciation rate adjustment recorded</t>
  </si>
  <si>
    <t>No financial posting</t>
  </si>
  <si>
    <t>Control Log entry only, unless a backdated correction is required (IN-08)</t>
  </si>
  <si>
    <t>REQUIRED REPORTS - INVENTORY &amp; WAREHOUSE</t>
  </si>
  <si>
    <t>All reports use the standard header/footer shown in FA-16</t>
  </si>
  <si>
    <t>Report</t>
  </si>
  <si>
    <t>Frequency</t>
  </si>
  <si>
    <t>Filter Options</t>
  </si>
  <si>
    <t>Export</t>
  </si>
  <si>
    <t>Current Stock Level Report</t>
  </si>
  <si>
    <t>On demand</t>
  </si>
  <si>
    <t>Custom date range, per item, per category, per Second Unit</t>
  </si>
  <si>
    <t>PDF + Excel</t>
  </si>
  <si>
    <t>Item Movement Report</t>
  </si>
  <si>
    <t>Custom date range, per item, per department</t>
  </si>
  <si>
    <t>Store Issuance Report</t>
  </si>
  <si>
    <t>Custom date range, per department, per item</t>
  </si>
  <si>
    <t>Goods Receipt Note Report</t>
  </si>
  <si>
    <t>Custom date range, per supplier, per purchase order</t>
  </si>
  <si>
    <t>Asset Handover Report</t>
  </si>
  <si>
    <t>Custom date range, per employee, per department, per item category</t>
  </si>
  <si>
    <t>Non-Consumable Asset Register</t>
  </si>
  <si>
    <t>Custom date range, per employee, per asset class - all items in use and with whom</t>
  </si>
  <si>
    <t>Low Stock Alert Report</t>
  </si>
  <si>
    <t>On demand / Real-time</t>
  </si>
  <si>
    <t>Custom date range, per item - items below minimum stock threshold</t>
  </si>
  <si>
    <t>Inventory Loss and Wastage</t>
  </si>
  <si>
    <t>Custom date range, per item, per Second Unit</t>
  </si>
  <si>
    <t>Purchase Request Status</t>
  </si>
  <si>
    <t>Custom date range, per department - pending, approved, transferred to Procurement</t>
  </si>
  <si>
    <t>Control Log / Audit Trail</t>
  </si>
  <si>
    <t>Custom date range, by user, action type</t>
  </si>
  <si>
    <t>Internal Control Verification</t>
  </si>
  <si>
    <t>Custom date range, by workflow type and verification outcome</t>
  </si>
  <si>
    <t>OFFICER CORRECTION REQUEST - INVENTORY &amp; WAREHOUSE</t>
  </si>
  <si>
    <t>Form IN-15  |  Version 1.0  |  Same standard form as FA-11, module set to Inventory</t>
  </si>
  <si>
    <t>A. REQUEST (raised by Inventory Officer)</t>
  </si>
  <si>
    <t>CR-2026-000051</t>
  </si>
  <si>
    <t>Date Raised</t>
  </si>
  <si>
    <t>Module</t>
  </si>
  <si>
    <t>Entry Type</t>
  </si>
  <si>
    <t>Store Issuance Form</t>
  </si>
  <si>
    <t>Entry Reference</t>
  </si>
  <si>
    <t>SI-000213</t>
  </si>
  <si>
    <t>Entry Status at Request</t>
  </si>
  <si>
    <t>Submitted - not yet IC-verified or finalized</t>
  </si>
  <si>
    <t>Description of Error</t>
  </si>
  <si>
    <t>Quantity issued entered as 20 boxes; 10 boxes physically issued. EXAMPLE DATA.</t>
  </si>
  <si>
    <t>Required Correction</t>
  </si>
  <si>
    <t>Change quantity issued from 20 to 10.</t>
  </si>
  <si>
    <t>Store ledger count and receiving employee confirm 10 boxes.</t>
  </si>
  <si>
    <t>B. INVENTORY DEPARTMENT HEAD DECISION (notified automatically on submission)</t>
  </si>
  <si>
    <t>Decision</t>
  </si>
  <si>
    <t>Decision Date / Time</t>
  </si>
  <si>
    <t>Reason (recorded if Rejected)</t>
  </si>
  <si>
    <t>Entry Unlocked</t>
  </si>
  <si>
    <t>Yes - Officer notified automatically</t>
  </si>
  <si>
    <t>Corrected Entry Ref.</t>
  </si>
  <si>
    <t>SI-000213 (rev. 2)</t>
  </si>
  <si>
    <t>C. CONTROL LOG - PERMANENTLY RECORDED AND VISIBLE TO INTERNAL CONTROL</t>
  </si>
  <si>
    <t>Original entry</t>
  </si>
  <si>
    <t>Recorded</t>
  </si>
  <si>
    <t>Correction request</t>
  </si>
  <si>
    <t>Department Head decision</t>
  </si>
  <si>
    <t>Corrected entry</t>
  </si>
  <si>
    <t>REQUESTED BY
(Inventory Officer)</t>
  </si>
  <si>
    <t>DECIDED BY
(Inventory Department Head)</t>
  </si>
  <si>
    <t>1. Applies to entries the Officer has already submitted and that were not caught by IC at the GRN stage. The Officer can never modify or delete a submitted entry directly.</t>
  </si>
  <si>
    <t>2. IC rejections of a GRN use the unlock loop in IN-06, not this form. Every step is written to the Control Log (layout: FA-18).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</si>
</sst>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dd\-mmm\-yyyy\ hh:mm"/>
    <numFmt numFmtId="166" formatCode="#,##0.00;\(#,##0.00\);\-"/>
    <numFmt numFmtId="167" formatCode="0.0%"/>
  </numFmts>
  <fonts count="14" x14ac:knownFonts="1">
    <font>
      <sz val="11"/>
      <color theme="1"/>
      <name val="Calibri"/>
      <family val="2"/>
      <charset val="1"/>
    </font>
    <font>
      <b/>
      <sz val="16"/>
      <color rgb="FF1F3864"/>
      <name val="Arial"/>
      <charset val="1"/>
    </font>
    <font>
      <b/>
      <sz val="13"/>
      <color rgb="FF000000"/>
      <name val="Arial"/>
      <charset val="1"/>
    </font>
    <font>
      <i/>
      <sz val="9"/>
      <color rgb="FF000000"/>
      <name val="Arial"/>
      <charset val="1"/>
    </font>
    <font>
      <b/>
      <sz val="10"/>
      <color rgb="FF000000"/>
      <name val="Arial"/>
      <charset val="1"/>
    </font>
    <font>
      <sz val="10"/>
      <color rgb="FF0000FF"/>
      <name val="Arial"/>
      <charset val="1"/>
    </font>
    <font>
      <sz val="10"/>
      <color rgb="FF000000"/>
      <name val="Arial"/>
      <charset val="1"/>
    </font>
    <font>
      <i/>
      <sz val="10"/>
      <color rgb="FF7F7F7F"/>
      <name val="Arial"/>
      <charset val="1"/>
    </font>
    <font>
      <sz val="10"/>
      <color rgb="FFFFFFFF"/>
      <name val="Arial"/>
      <charset val="1"/>
    </font>
    <font>
      <b/>
      <sz val="10"/>
      <color rgb="FFFFFFFF"/>
      <name val="Arial"/>
      <charset val="1"/>
    </font>
    <font>
      <u/>
      <sz val="10"/>
      <color rgb="FF0563C1"/>
      <name val="Arial"/>
      <charset val="1"/>
    </font>
    <font>
      <sz val="9"/>
      <color rgb="FF000000"/>
      <name val="Arial"/>
      <charset val="1"/>
    </font>
    <font>
      <b/>
      <sz val="14"/>
      <color rgb="FF1F3864"/>
      <name val="Arial"/>
      <charset val="1"/>
    </font>
    <font>
      <b/>
      <sz val="9"/>
      <color rgb="FFFFFFFF"/>
      <name val="Arial"/>
      <charset val="1"/>
    </font>
  </fonts>
  <fills count="7">
    <fill>
      <patternFill patternType="none"/>
    </fill>
    <fill>
      <patternFill patternType="gray125"/>
    </fill>
    <fill>
      <patternFill patternType="solid">
        <fgColor rgb="FFD9E1F2"/>
        <bgColor rgb="FFE7E6E6"/>
      </patternFill>
    </fill>
    <fill>
      <patternFill patternType="solid">
        <fgColor rgb="FFFFF2CC"/>
        <bgColor rgb="FFF2F2F2"/>
      </patternFill>
    </fill>
    <fill>
      <patternFill patternType="solid">
        <fgColor rgb="FFE7E6E6"/>
        <bgColor rgb="FFD9E1F2"/>
      </patternFill>
    </fill>
    <fill>
      <patternFill patternType="solid">
        <fgColor rgb="FFF2F2F2"/>
        <bgColor rgb="FFE7E6E6"/>
      </patternFill>
    </fill>
    <fill>
      <patternFill patternType="solid">
        <fgColor rgb="FF1F3864"/>
        <bgColor rgb="FF333333"/>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53">
    <xf numFmtId="0" fontId="0" fillId="0" borderId="0" xfId="0"/>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166" fontId="5" fillId="3" borderId="1" xfId="0" applyNumberFormat="1" applyFont="1" applyFill="1" applyBorder="1" applyAlignment="1">
      <alignment horizontal="left" vertical="center" wrapText="1"/>
    </xf>
    <xf numFmtId="166" fontId="6" fillId="0" borderId="1" xfId="0" applyNumberFormat="1" applyFont="1" applyBorder="1" applyAlignment="1">
      <alignment horizontal="left" vertical="center" wrapText="1"/>
    </xf>
    <xf numFmtId="166" fontId="4" fillId="2" borderId="1" xfId="0" applyNumberFormat="1" applyFont="1" applyFill="1" applyBorder="1" applyAlignment="1">
      <alignment horizontal="left" vertical="center" wrapText="1"/>
    </xf>
    <xf numFmtId="167" fontId="5" fillId="3" borderId="1" xfId="0" applyNumberFormat="1" applyFont="1" applyFill="1" applyBorder="1" applyAlignment="1">
      <alignment horizontal="left" vertical="center" wrapText="1"/>
    </xf>
    <xf numFmtId="166" fontId="6" fillId="4" borderId="1" xfId="0" applyNumberFormat="1" applyFont="1" applyFill="1" applyBorder="1" applyAlignment="1">
      <alignment horizontal="left" vertical="center" wrapText="1"/>
    </xf>
    <xf numFmtId="2" fontId="6" fillId="4" borderId="1" xfId="0" applyNumberFormat="1" applyFont="1" applyFill="1" applyBorder="1" applyAlignment="1">
      <alignment horizontal="left" vertical="center" wrapText="1"/>
    </xf>
    <xf numFmtId="3" fontId="5" fillId="3" borderId="1" xfId="0" applyNumberFormat="1" applyFont="1" applyFill="1" applyBorder="1" applyAlignment="1">
      <alignment horizontal="left" vertical="center" wrapText="1"/>
    </xf>
    <xf numFmtId="3" fontId="6" fillId="4" borderId="1" xfId="0" applyNumberFormat="1" applyFont="1" applyFill="1" applyBorder="1" applyAlignment="1">
      <alignment horizontal="left" vertical="center" wrapText="1"/>
    </xf>
    <xf numFmtId="3" fontId="6" fillId="0" borderId="1" xfId="0" applyNumberFormat="1" applyFont="1" applyBorder="1" applyAlignment="1">
      <alignment horizontal="left" vertical="center" wrapText="1"/>
    </xf>
    <xf numFmtId="0" fontId="4"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6" fillId="0" borderId="1" xfId="0" applyFont="1" applyBorder="1" applyAlignment="1">
      <alignment horizontal="left" vertical="top" wrapText="1"/>
    </xf>
    <xf numFmtId="0" fontId="6" fillId="4"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165" fontId="6" fillId="4" borderId="1" xfId="0" applyNumberFormat="1" applyFont="1" applyFill="1" applyBorder="1" applyAlignment="1">
      <alignment horizontal="left" vertical="center" wrapText="1"/>
    </xf>
    <xf numFmtId="0" fontId="9" fillId="6" borderId="1" xfId="0"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4" fillId="2" borderId="1" xfId="0" applyFont="1" applyFill="1" applyBorder="1" applyAlignment="1">
      <alignment horizontal="right" vertical="center" wrapText="1"/>
    </xf>
    <xf numFmtId="0" fontId="4"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166" fontId="6" fillId="4" borderId="1" xfId="0" applyNumberFormat="1" applyFont="1" applyFill="1" applyBorder="1" applyAlignment="1">
      <alignment horizontal="left" vertical="center" wrapText="1"/>
    </xf>
    <xf numFmtId="166" fontId="5" fillId="3" borderId="1" xfId="0" applyNumberFormat="1" applyFont="1" applyFill="1" applyBorder="1" applyAlignment="1">
      <alignment horizontal="left" vertical="center" wrapText="1"/>
    </xf>
    <xf numFmtId="167" fontId="6" fillId="4" borderId="1" xfId="0" applyNumberFormat="1" applyFont="1" applyFill="1" applyBorder="1" applyAlignment="1">
      <alignment horizontal="left" vertical="center" wrapText="1"/>
    </xf>
    <xf numFmtId="167" fontId="5" fillId="3"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F2F2F2"/>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North_Coal_ERP_Inventory_Forms.xlsx" TargetMode="External"/><Relationship Id="rId13" Type="http://schemas.openxmlformats.org/officeDocument/2006/relationships/hyperlink" Target="North_Coal_ERP_Inventory_Forms.xlsx" TargetMode="External"/><Relationship Id="rId3" Type="http://schemas.openxmlformats.org/officeDocument/2006/relationships/hyperlink" Target="North_Coal_ERP_Inventory_Forms.xlsx" TargetMode="External"/><Relationship Id="rId7" Type="http://schemas.openxmlformats.org/officeDocument/2006/relationships/hyperlink" Target="North_Coal_ERP_Inventory_Forms.xlsx" TargetMode="External"/><Relationship Id="rId12" Type="http://schemas.openxmlformats.org/officeDocument/2006/relationships/hyperlink" Target="North_Coal_ERP_Inventory_Forms.xlsx" TargetMode="External"/><Relationship Id="rId2" Type="http://schemas.openxmlformats.org/officeDocument/2006/relationships/hyperlink" Target="North_Coal_ERP_Inventory_Forms.xlsx" TargetMode="External"/><Relationship Id="rId1" Type="http://schemas.openxmlformats.org/officeDocument/2006/relationships/hyperlink" Target="North_Coal_ERP_Inventory_Forms.xlsx" TargetMode="External"/><Relationship Id="rId6" Type="http://schemas.openxmlformats.org/officeDocument/2006/relationships/hyperlink" Target="North_Coal_ERP_Inventory_Forms.xlsx" TargetMode="External"/><Relationship Id="rId11" Type="http://schemas.openxmlformats.org/officeDocument/2006/relationships/hyperlink" Target="North_Coal_ERP_Inventory_Forms.xlsx" TargetMode="External"/><Relationship Id="rId5" Type="http://schemas.openxmlformats.org/officeDocument/2006/relationships/hyperlink" Target="North_Coal_ERP_Inventory_Forms.xlsx" TargetMode="External"/><Relationship Id="rId15" Type="http://schemas.openxmlformats.org/officeDocument/2006/relationships/hyperlink" Target="North_Coal_ERP_Inventory_Forms.xlsx" TargetMode="External"/><Relationship Id="rId10" Type="http://schemas.openxmlformats.org/officeDocument/2006/relationships/hyperlink" Target="North_Coal_ERP_Inventory_Forms.xlsx" TargetMode="External"/><Relationship Id="rId4" Type="http://schemas.openxmlformats.org/officeDocument/2006/relationships/hyperlink" Target="North_Coal_ERP_Inventory_Forms.xlsx" TargetMode="External"/><Relationship Id="rId9" Type="http://schemas.openxmlformats.org/officeDocument/2006/relationships/hyperlink" Target="North_Coal_ERP_Inventory_Forms.xlsx" TargetMode="External"/><Relationship Id="rId14" Type="http://schemas.openxmlformats.org/officeDocument/2006/relationships/hyperlink" Target="North_Coal_ERP_Inventory_Form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D35"/>
  <sheetViews>
    <sheetView showGridLines="0" tabSelected="1" zoomScaleNormal="100" workbookViewId="0">
      <selection activeCell="A2" sqref="A2:D2"/>
    </sheetView>
  </sheetViews>
  <sheetFormatPr defaultColWidth="8.68359375" defaultRowHeight="14.4" x14ac:dyDescent="0.55000000000000004"/>
  <cols>
    <col min="1" max="1" width="12" customWidth="1"/>
    <col min="2" max="2" width="34" customWidth="1"/>
    <col min="3" max="3" width="86" customWidth="1"/>
    <col min="4" max="4" width="30" customWidth="1"/>
  </cols>
  <sheetData>
    <row r="1" spans="1:4" ht="18" customHeight="1" x14ac:dyDescent="0.55000000000000004">
      <c r="A1" s="29" t="s">
        <v>0</v>
      </c>
      <c r="B1" s="29"/>
      <c r="C1" s="29"/>
      <c r="D1" s="29"/>
    </row>
    <row r="2" spans="1:4" ht="18" customHeight="1" x14ac:dyDescent="0.55000000000000004">
      <c r="A2" s="30" t="s">
        <v>1</v>
      </c>
      <c r="B2" s="30"/>
      <c r="C2" s="30"/>
      <c r="D2" s="30"/>
    </row>
    <row r="3" spans="1:4" ht="18" customHeight="1" x14ac:dyDescent="0.55000000000000004">
      <c r="A3" s="31" t="s">
        <v>2</v>
      </c>
      <c r="B3" s="31"/>
      <c r="C3" s="31"/>
      <c r="D3" s="31"/>
    </row>
    <row r="5" spans="1:4" ht="18" customHeight="1" x14ac:dyDescent="0.55000000000000004">
      <c r="A5" s="28" t="s">
        <v>3</v>
      </c>
      <c r="B5" s="28"/>
      <c r="C5" s="28"/>
      <c r="D5" s="28"/>
    </row>
    <row r="6" spans="1:4" ht="18" customHeight="1" x14ac:dyDescent="0.55000000000000004">
      <c r="A6" s="4" t="s">
        <v>4</v>
      </c>
      <c r="B6" s="27" t="s">
        <v>5</v>
      </c>
      <c r="C6" s="27"/>
      <c r="D6" s="27"/>
    </row>
    <row r="7" spans="1:4" ht="18" customHeight="1" x14ac:dyDescent="0.55000000000000004">
      <c r="A7" s="5" t="s">
        <v>6</v>
      </c>
      <c r="B7" s="27" t="s">
        <v>7</v>
      </c>
      <c r="C7" s="27"/>
      <c r="D7" s="27"/>
    </row>
    <row r="8" spans="1:4" ht="18" customHeight="1" x14ac:dyDescent="0.55000000000000004">
      <c r="A8" s="6" t="s">
        <v>8</v>
      </c>
      <c r="B8" s="27" t="s">
        <v>9</v>
      </c>
      <c r="C8" s="27"/>
      <c r="D8" s="27"/>
    </row>
    <row r="9" spans="1:4" ht="18" customHeight="1" x14ac:dyDescent="0.55000000000000004">
      <c r="A9" s="7" t="s">
        <v>10</v>
      </c>
      <c r="B9" s="27" t="s">
        <v>11</v>
      </c>
      <c r="C9" s="27"/>
      <c r="D9" s="27"/>
    </row>
    <row r="11" spans="1:4" ht="24" customHeight="1" x14ac:dyDescent="0.55000000000000004">
      <c r="A11" s="8" t="s">
        <v>12</v>
      </c>
      <c r="B11" s="8" t="s">
        <v>13</v>
      </c>
      <c r="C11" s="8" t="s">
        <v>14</v>
      </c>
      <c r="D11" s="8" t="s">
        <v>15</v>
      </c>
    </row>
    <row r="12" spans="1:4" ht="30.75" customHeight="1" x14ac:dyDescent="0.55000000000000004">
      <c r="A12" s="9" t="s">
        <v>16</v>
      </c>
      <c r="B12" s="10" t="s">
        <v>17</v>
      </c>
      <c r="C12" s="2" t="s">
        <v>18</v>
      </c>
      <c r="D12" s="1" t="s">
        <v>19</v>
      </c>
    </row>
    <row r="13" spans="1:4" ht="19.5" customHeight="1" x14ac:dyDescent="0.55000000000000004">
      <c r="A13" s="9" t="s">
        <v>20</v>
      </c>
      <c r="B13" s="10" t="s">
        <v>21</v>
      </c>
      <c r="C13" s="2" t="s">
        <v>22</v>
      </c>
      <c r="D13" s="1" t="s">
        <v>23</v>
      </c>
    </row>
    <row r="14" spans="1:4" ht="19.5" customHeight="1" x14ac:dyDescent="0.55000000000000004">
      <c r="A14" s="9" t="s">
        <v>24</v>
      </c>
      <c r="B14" s="10" t="s">
        <v>25</v>
      </c>
      <c r="C14" s="2" t="s">
        <v>26</v>
      </c>
      <c r="D14" s="1" t="s">
        <v>27</v>
      </c>
    </row>
    <row r="15" spans="1:4" ht="19.5" customHeight="1" x14ac:dyDescent="0.55000000000000004">
      <c r="A15" s="9" t="s">
        <v>28</v>
      </c>
      <c r="B15" s="10" t="s">
        <v>29</v>
      </c>
      <c r="C15" s="2" t="s">
        <v>30</v>
      </c>
      <c r="D15" s="1" t="s">
        <v>31</v>
      </c>
    </row>
    <row r="16" spans="1:4" ht="30.75" customHeight="1" x14ac:dyDescent="0.55000000000000004">
      <c r="A16" s="9" t="s">
        <v>32</v>
      </c>
      <c r="B16" s="10" t="s">
        <v>33</v>
      </c>
      <c r="C16" s="2" t="s">
        <v>34</v>
      </c>
      <c r="D16" s="1" t="s">
        <v>35</v>
      </c>
    </row>
    <row r="17" spans="1:4" ht="30.75" customHeight="1" x14ac:dyDescent="0.55000000000000004">
      <c r="A17" s="9" t="s">
        <v>36</v>
      </c>
      <c r="B17" s="10" t="s">
        <v>37</v>
      </c>
      <c r="C17" s="2" t="s">
        <v>38</v>
      </c>
      <c r="D17" s="1" t="s">
        <v>39</v>
      </c>
    </row>
    <row r="18" spans="1:4" ht="30.75" customHeight="1" x14ac:dyDescent="0.55000000000000004">
      <c r="A18" s="9" t="s">
        <v>40</v>
      </c>
      <c r="B18" s="10" t="s">
        <v>41</v>
      </c>
      <c r="C18" s="2" t="s">
        <v>42</v>
      </c>
      <c r="D18" s="1" t="s">
        <v>43</v>
      </c>
    </row>
    <row r="19" spans="1:4" ht="19.5" customHeight="1" x14ac:dyDescent="0.55000000000000004">
      <c r="A19" s="9" t="s">
        <v>44</v>
      </c>
      <c r="B19" s="10" t="s">
        <v>45</v>
      </c>
      <c r="C19" s="2" t="s">
        <v>46</v>
      </c>
      <c r="D19" s="1" t="s">
        <v>47</v>
      </c>
    </row>
    <row r="20" spans="1:4" ht="30.75" customHeight="1" x14ac:dyDescent="0.55000000000000004">
      <c r="A20" s="9" t="s">
        <v>48</v>
      </c>
      <c r="B20" s="10" t="s">
        <v>49</v>
      </c>
      <c r="C20" s="2" t="s">
        <v>50</v>
      </c>
      <c r="D20" s="1" t="s">
        <v>51</v>
      </c>
    </row>
    <row r="21" spans="1:4" ht="30.75" customHeight="1" x14ac:dyDescent="0.55000000000000004">
      <c r="A21" s="9" t="s">
        <v>52</v>
      </c>
      <c r="B21" s="10" t="s">
        <v>53</v>
      </c>
      <c r="C21" s="2" t="s">
        <v>54</v>
      </c>
      <c r="D21" s="1" t="s">
        <v>55</v>
      </c>
    </row>
    <row r="22" spans="1:4" ht="30.75" customHeight="1" x14ac:dyDescent="0.55000000000000004">
      <c r="A22" s="9" t="s">
        <v>56</v>
      </c>
      <c r="B22" s="10" t="s">
        <v>57</v>
      </c>
      <c r="C22" s="2" t="s">
        <v>58</v>
      </c>
      <c r="D22" s="1" t="s">
        <v>59</v>
      </c>
    </row>
    <row r="23" spans="1:4" ht="30.75" customHeight="1" x14ac:dyDescent="0.55000000000000004">
      <c r="A23" s="9" t="s">
        <v>60</v>
      </c>
      <c r="B23" s="10" t="s">
        <v>61</v>
      </c>
      <c r="C23" s="2" t="s">
        <v>62</v>
      </c>
      <c r="D23" s="1" t="s">
        <v>63</v>
      </c>
    </row>
    <row r="24" spans="1:4" ht="30.75" customHeight="1" x14ac:dyDescent="0.55000000000000004">
      <c r="A24" s="9" t="s">
        <v>64</v>
      </c>
      <c r="B24" s="10" t="s">
        <v>65</v>
      </c>
      <c r="C24" s="2" t="s">
        <v>66</v>
      </c>
      <c r="D24" s="1" t="s">
        <v>67</v>
      </c>
    </row>
    <row r="25" spans="1:4" ht="19.5" customHeight="1" x14ac:dyDescent="0.55000000000000004">
      <c r="A25" s="9" t="s">
        <v>68</v>
      </c>
      <c r="B25" s="10" t="s">
        <v>69</v>
      </c>
      <c r="C25" s="2" t="s">
        <v>70</v>
      </c>
      <c r="D25" s="1" t="s">
        <v>71</v>
      </c>
    </row>
    <row r="26" spans="1:4" ht="30.75" customHeight="1" x14ac:dyDescent="0.55000000000000004">
      <c r="A26" s="9" t="s">
        <v>72</v>
      </c>
      <c r="B26" s="10" t="s">
        <v>73</v>
      </c>
      <c r="C26" s="2" t="s">
        <v>74</v>
      </c>
      <c r="D26" s="1" t="s">
        <v>75</v>
      </c>
    </row>
    <row r="28" spans="1:4" ht="18" customHeight="1" x14ac:dyDescent="0.55000000000000004">
      <c r="A28" s="28" t="s">
        <v>76</v>
      </c>
      <c r="B28" s="28"/>
      <c r="C28" s="28"/>
      <c r="D28" s="28"/>
    </row>
    <row r="29" spans="1:4" ht="27.75" customHeight="1" x14ac:dyDescent="0.55000000000000004">
      <c r="A29" s="26" t="s">
        <v>77</v>
      </c>
      <c r="B29" s="26"/>
      <c r="C29" s="26"/>
      <c r="D29" s="26"/>
    </row>
    <row r="30" spans="1:4" ht="30.75" customHeight="1" x14ac:dyDescent="0.55000000000000004">
      <c r="A30" s="26" t="s">
        <v>78</v>
      </c>
      <c r="B30" s="26"/>
      <c r="C30" s="26"/>
      <c r="D30" s="26"/>
    </row>
    <row r="31" spans="1:4" ht="30.75" customHeight="1" x14ac:dyDescent="0.55000000000000004">
      <c r="A31" s="26" t="s">
        <v>79</v>
      </c>
      <c r="B31" s="26"/>
      <c r="C31" s="26"/>
      <c r="D31" s="26"/>
    </row>
    <row r="32" spans="1:4" ht="30.75" customHeight="1" x14ac:dyDescent="0.55000000000000004">
      <c r="A32" s="26" t="s">
        <v>80</v>
      </c>
      <c r="B32" s="26"/>
      <c r="C32" s="26"/>
      <c r="D32" s="26"/>
    </row>
    <row r="33" spans="1:4" ht="30.75" customHeight="1" x14ac:dyDescent="0.55000000000000004">
      <c r="A33" s="26" t="s">
        <v>81</v>
      </c>
      <c r="B33" s="26"/>
      <c r="C33" s="26"/>
      <c r="D33" s="26"/>
    </row>
    <row r="34" spans="1:4" ht="27.75" customHeight="1" x14ac:dyDescent="0.55000000000000004">
      <c r="A34" s="26" t="s">
        <v>82</v>
      </c>
      <c r="B34" s="26"/>
      <c r="C34" s="26"/>
      <c r="D34" s="26"/>
    </row>
    <row r="35" spans="1:4" ht="27.75" customHeight="1" x14ac:dyDescent="0.55000000000000004">
      <c r="A35" s="26" t="s">
        <v>83</v>
      </c>
      <c r="B35" s="26"/>
      <c r="C35" s="26"/>
      <c r="D35" s="26"/>
    </row>
  </sheetData>
  <mergeCells count="16">
    <mergeCell ref="A1:D1"/>
    <mergeCell ref="A2:D2"/>
    <mergeCell ref="A3:D3"/>
    <mergeCell ref="A5:D5"/>
    <mergeCell ref="B6:D6"/>
    <mergeCell ref="B7:D7"/>
    <mergeCell ref="B8:D8"/>
    <mergeCell ref="B9:D9"/>
    <mergeCell ref="A28:D28"/>
    <mergeCell ref="A29:D29"/>
    <mergeCell ref="A35:D35"/>
    <mergeCell ref="A30:D30"/>
    <mergeCell ref="A31:D31"/>
    <mergeCell ref="A32:D32"/>
    <mergeCell ref="A33:D33"/>
    <mergeCell ref="A34:D34"/>
  </mergeCells>
  <hyperlinks>
    <hyperlink ref="B12" r:id="rId1" location="'IN-01%20Item%20Request'!A1" xr:uid="{00000000-0004-0000-0000-000000000000}"/>
    <hyperlink ref="B13" r:id="rId2" location="'IN-02%20Store%20Issuance'!A1" xr:uid="{00000000-0004-0000-0000-000001000000}"/>
    <hyperlink ref="B14" r:id="rId3" location="'IN-03%20Asset%20Handover'!A1" xr:uid="{00000000-0004-0000-0000-000002000000}"/>
    <hyperlink ref="B15" r:id="rId4" location="'IN-04%20Purchase%20Request'!A1" xr:uid="{00000000-0004-0000-0000-000003000000}"/>
    <hyperlink ref="B16" r:id="rId5" location="'IN-05%20Goods%20Receipt%20Note'!A1" xr:uid="{00000000-0004-0000-0000-000004000000}"/>
    <hyperlink ref="B17" r:id="rId6" location="'IN-06%20IC%20GRN%20Verification'!A1" xr:uid="{00000000-0004-0000-0000-000005000000}"/>
    <hyperlink ref="B18" r:id="rId7" location="'IN-07%20Fixed%20Asset%20Entry'!A1" xr:uid="{00000000-0004-0000-0000-000006000000}"/>
    <hyperlink ref="B19" r:id="rId8" location="'IN-08%20Depreciation%20Rate%20Change'!A1" xr:uid="{00000000-0004-0000-0000-000007000000}"/>
    <hyperlink ref="B20" r:id="rId9" location="'IN-09%20Loss%20&amp;%20Write-Down'!A1" xr:uid="{00000000-0004-0000-0000-000008000000}"/>
    <hyperlink ref="B21" r:id="rId10" location="'IN-10%20Item%20Master'!A1" xr:uid="{00000000-0004-0000-0000-000009000000}"/>
    <hyperlink ref="B22" r:id="rId11" location="'IN-11%20Stock%20Level%20&amp;%20Alerts'!A1" xr:uid="{00000000-0004-0000-0000-00000A000000}"/>
    <hyperlink ref="B23" r:id="rId12" location="'IN-12%20Approval%20Matrix'!A1" xr:uid="{00000000-0004-0000-0000-00000B000000}"/>
    <hyperlink ref="B24" r:id="rId13" location="'IN-13%20Accounting%20Entries'!A1" xr:uid="{00000000-0004-0000-0000-00000C000000}"/>
    <hyperlink ref="B25" r:id="rId14" location="'IN-14%20Reports%20Spec'!A1" xr:uid="{00000000-0004-0000-0000-00000D000000}"/>
    <hyperlink ref="B26" r:id="rId15" location="'IN-15%20Correction%20Request'!A1" xr:uid="{00000000-0004-0000-0000-00000E000000}"/>
  </hyperlinks>
  <pageMargins left="0.5" right="0.5" top="1" bottom="1" header="0.511811023622047" footer="0.5"/>
  <pageSetup paperSize="9" fitToHeight="0" orientation="landscape" horizontalDpi="300" verticalDpi="300"/>
  <headerFooter>
    <oddFooter>&amp;LIndex | Crest Point Consulting Group&amp;CPage &amp;P of &amp;N&amp;RStrictly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37"/>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85</v>
      </c>
      <c r="D2" s="41"/>
      <c r="E2" s="41"/>
      <c r="F2" s="41"/>
    </row>
    <row r="3" spans="1:6" ht="21.75" customHeight="1" x14ac:dyDescent="0.55000000000000004">
      <c r="A3" s="39"/>
      <c r="B3" s="39"/>
      <c r="C3" s="42" t="s">
        <v>86</v>
      </c>
      <c r="D3" s="42"/>
      <c r="E3" s="42"/>
      <c r="F3" s="42"/>
    </row>
    <row r="5" spans="1:6" ht="18" customHeight="1" x14ac:dyDescent="0.55000000000000004">
      <c r="A5" s="36" t="s">
        <v>87</v>
      </c>
      <c r="B5" s="36"/>
      <c r="C5" s="36"/>
      <c r="D5" s="36"/>
      <c r="E5" s="36"/>
      <c r="F5" s="36"/>
    </row>
    <row r="6" spans="1:6" ht="19.5" customHeight="1" x14ac:dyDescent="0.55000000000000004">
      <c r="A6" s="28" t="s">
        <v>88</v>
      </c>
      <c r="B6" s="28"/>
      <c r="C6" s="11" t="s">
        <v>89</v>
      </c>
      <c r="D6" s="3" t="s">
        <v>90</v>
      </c>
      <c r="E6" s="38">
        <v>46307</v>
      </c>
      <c r="F6" s="38"/>
    </row>
    <row r="7" spans="1:6" ht="19.5" customHeight="1" x14ac:dyDescent="0.55000000000000004">
      <c r="A7" s="28" t="s">
        <v>91</v>
      </c>
      <c r="B7" s="28"/>
      <c r="C7" s="11" t="s">
        <v>92</v>
      </c>
      <c r="D7" s="3" t="s">
        <v>93</v>
      </c>
      <c r="E7" s="33" t="s">
        <v>94</v>
      </c>
      <c r="F7" s="33"/>
    </row>
    <row r="8" spans="1:6" ht="30.75" customHeight="1" x14ac:dyDescent="0.55000000000000004">
      <c r="A8" s="28" t="s">
        <v>95</v>
      </c>
      <c r="B8" s="28"/>
      <c r="C8" s="11" t="s">
        <v>96</v>
      </c>
      <c r="D8" s="3" t="s">
        <v>97</v>
      </c>
      <c r="E8" s="33" t="s">
        <v>98</v>
      </c>
      <c r="F8" s="33"/>
    </row>
    <row r="10" spans="1:6" ht="30" customHeight="1" x14ac:dyDescent="0.55000000000000004">
      <c r="A10" s="8" t="s">
        <v>99</v>
      </c>
      <c r="B10" s="8" t="s">
        <v>100</v>
      </c>
      <c r="C10" s="8" t="s">
        <v>101</v>
      </c>
      <c r="D10" s="8" t="s">
        <v>14</v>
      </c>
      <c r="E10" s="8" t="s">
        <v>102</v>
      </c>
      <c r="F10" s="8" t="s">
        <v>103</v>
      </c>
    </row>
    <row r="11" spans="1:6" ht="19.5" customHeight="1" x14ac:dyDescent="0.55000000000000004">
      <c r="A11" s="9">
        <v>1</v>
      </c>
      <c r="B11" s="12" t="s">
        <v>104</v>
      </c>
      <c r="C11" s="12" t="s">
        <v>105</v>
      </c>
      <c r="D11" s="12" t="s">
        <v>106</v>
      </c>
      <c r="E11" s="12">
        <v>10</v>
      </c>
      <c r="F11" s="12" t="s">
        <v>107</v>
      </c>
    </row>
    <row r="12" spans="1:6" ht="19.5" customHeight="1" x14ac:dyDescent="0.55000000000000004">
      <c r="A12" s="9">
        <v>2</v>
      </c>
      <c r="B12" s="12" t="s">
        <v>108</v>
      </c>
      <c r="C12" s="12" t="s">
        <v>109</v>
      </c>
      <c r="D12" s="12" t="s">
        <v>110</v>
      </c>
      <c r="E12" s="12">
        <v>2</v>
      </c>
      <c r="F12" s="12" t="s">
        <v>111</v>
      </c>
    </row>
    <row r="13" spans="1:6" ht="19.5" customHeight="1" x14ac:dyDescent="0.55000000000000004">
      <c r="A13" s="9">
        <v>3</v>
      </c>
      <c r="B13" s="2"/>
      <c r="C13" s="2"/>
      <c r="D13" s="2"/>
      <c r="E13" s="2"/>
      <c r="F13" s="2"/>
    </row>
    <row r="14" spans="1:6" ht="19.5" customHeight="1" x14ac:dyDescent="0.55000000000000004">
      <c r="A14" s="9">
        <v>4</v>
      </c>
      <c r="B14" s="2"/>
      <c r="C14" s="2"/>
      <c r="D14" s="2"/>
      <c r="E14" s="2"/>
      <c r="F14" s="2"/>
    </row>
    <row r="15" spans="1:6" ht="19.5" customHeight="1" x14ac:dyDescent="0.55000000000000004">
      <c r="A15" s="9">
        <v>5</v>
      </c>
      <c r="B15" s="2"/>
      <c r="C15" s="2"/>
      <c r="D15" s="2"/>
      <c r="E15" s="2"/>
      <c r="F15" s="2"/>
    </row>
    <row r="16" spans="1:6" ht="19.5" customHeight="1" x14ac:dyDescent="0.55000000000000004">
      <c r="A16" s="9">
        <v>6</v>
      </c>
      <c r="B16" s="2"/>
      <c r="C16" s="2"/>
      <c r="D16" s="2"/>
      <c r="E16" s="2"/>
      <c r="F16" s="2"/>
    </row>
    <row r="18" spans="1:6" ht="18" customHeight="1" x14ac:dyDescent="0.55000000000000004">
      <c r="A18" s="36" t="s">
        <v>112</v>
      </c>
      <c r="B18" s="36"/>
      <c r="C18" s="36"/>
      <c r="D18" s="36"/>
      <c r="E18" s="36"/>
      <c r="F18" s="36"/>
    </row>
    <row r="19" spans="1:6" ht="30.75" customHeight="1" x14ac:dyDescent="0.55000000000000004">
      <c r="A19" s="28" t="s">
        <v>113</v>
      </c>
      <c r="B19" s="28"/>
      <c r="C19" s="12" t="s">
        <v>114</v>
      </c>
      <c r="D19" s="3" t="s">
        <v>115</v>
      </c>
      <c r="E19" s="37">
        <v>46307</v>
      </c>
      <c r="F19" s="37"/>
    </row>
    <row r="20" spans="1:6" ht="43.5" customHeight="1" x14ac:dyDescent="0.55000000000000004">
      <c r="A20" s="28" t="s">
        <v>116</v>
      </c>
      <c r="B20" s="28"/>
      <c r="C20" s="12" t="s">
        <v>117</v>
      </c>
      <c r="D20" s="3" t="s">
        <v>118</v>
      </c>
      <c r="E20" s="38">
        <v>46307</v>
      </c>
      <c r="F20" s="38"/>
    </row>
    <row r="21" spans="1:6" ht="30.75" customHeight="1" x14ac:dyDescent="0.55000000000000004">
      <c r="A21" s="28" t="s">
        <v>119</v>
      </c>
      <c r="B21" s="28"/>
      <c r="C21" s="12" t="s">
        <v>120</v>
      </c>
      <c r="D21" s="3" t="s">
        <v>121</v>
      </c>
      <c r="E21" s="35">
        <v>46307.461805555598</v>
      </c>
      <c r="F21" s="35"/>
    </row>
    <row r="23" spans="1:6" ht="18" customHeight="1" x14ac:dyDescent="0.55000000000000004">
      <c r="A23" s="36" t="s">
        <v>122</v>
      </c>
      <c r="B23" s="36"/>
      <c r="C23" s="36"/>
      <c r="D23" s="36"/>
      <c r="E23" s="36"/>
      <c r="F23" s="36"/>
    </row>
    <row r="24" spans="1:6" ht="19.5" customHeight="1" x14ac:dyDescent="0.55000000000000004">
      <c r="A24" s="28" t="s">
        <v>123</v>
      </c>
      <c r="B24" s="28"/>
      <c r="C24" s="12" t="s">
        <v>124</v>
      </c>
      <c r="D24" s="3" t="s">
        <v>125</v>
      </c>
      <c r="E24" s="33" t="s">
        <v>126</v>
      </c>
      <c r="F24" s="33"/>
    </row>
    <row r="25" spans="1:6" ht="31.5" customHeight="1" x14ac:dyDescent="0.55000000000000004">
      <c r="A25" s="28" t="s">
        <v>127</v>
      </c>
      <c r="B25" s="28"/>
      <c r="C25" s="33" t="str">
        <f>IF(C24="Available in stock","Proceed to Store Issuance Form (IN-02)",IF(C24="Not available","Unavailability recorded; requesting department notified automatically -&gt; raise Purchase Request (IN-04)",""))</f>
        <v>Proceed to Store Issuance Form (IN-02)</v>
      </c>
      <c r="D25" s="33"/>
      <c r="E25" s="33"/>
      <c r="F25" s="33"/>
    </row>
    <row r="27" spans="1:6" ht="30.75" customHeight="1" x14ac:dyDescent="0.55000000000000004">
      <c r="A27" s="34" t="s">
        <v>128</v>
      </c>
      <c r="B27" s="34"/>
      <c r="C27" s="34"/>
      <c r="D27" s="14" t="s">
        <v>129</v>
      </c>
      <c r="E27" s="34" t="s">
        <v>130</v>
      </c>
      <c r="F27" s="34"/>
    </row>
    <row r="28" spans="1:6" ht="19.5" customHeight="1" x14ac:dyDescent="0.55000000000000004">
      <c r="A28" s="27" t="s">
        <v>131</v>
      </c>
      <c r="B28" s="27"/>
      <c r="C28" s="27"/>
      <c r="D28" s="2" t="s">
        <v>131</v>
      </c>
      <c r="E28" s="27" t="s">
        <v>131</v>
      </c>
      <c r="F28" s="27"/>
    </row>
    <row r="29" spans="1:6" ht="19.5" customHeight="1" x14ac:dyDescent="0.55000000000000004">
      <c r="A29" s="27" t="s">
        <v>132</v>
      </c>
      <c r="B29" s="27"/>
      <c r="C29" s="27"/>
      <c r="D29" s="2" t="s">
        <v>132</v>
      </c>
      <c r="E29" s="27" t="s">
        <v>132</v>
      </c>
      <c r="F29" s="27"/>
    </row>
    <row r="30" spans="1:6" ht="43.5" customHeight="1" x14ac:dyDescent="0.55000000000000004">
      <c r="A30" s="32" t="s">
        <v>133</v>
      </c>
      <c r="B30" s="32"/>
      <c r="C30" s="32"/>
      <c r="D30" s="15" t="s">
        <v>133</v>
      </c>
      <c r="E30" s="32" t="s">
        <v>133</v>
      </c>
      <c r="F30" s="32"/>
    </row>
    <row r="31" spans="1:6" ht="19.5" customHeight="1" x14ac:dyDescent="0.55000000000000004">
      <c r="A31" s="27" t="s">
        <v>134</v>
      </c>
      <c r="B31" s="27"/>
      <c r="C31" s="27"/>
      <c r="D31" s="2" t="s">
        <v>134</v>
      </c>
      <c r="E31" s="27" t="s">
        <v>134</v>
      </c>
      <c r="F31" s="27"/>
    </row>
    <row r="33" spans="1:6" ht="18" customHeight="1" x14ac:dyDescent="0.55000000000000004">
      <c r="A33" s="28" t="s">
        <v>135</v>
      </c>
      <c r="B33" s="28"/>
      <c r="C33" s="28"/>
      <c r="D33" s="28"/>
      <c r="E33" s="28"/>
      <c r="F33" s="28"/>
    </row>
    <row r="34" spans="1:6" ht="30.75" customHeight="1" x14ac:dyDescent="0.55000000000000004">
      <c r="A34" s="26" t="s">
        <v>136</v>
      </c>
      <c r="B34" s="26"/>
      <c r="C34" s="26"/>
      <c r="D34" s="26"/>
      <c r="E34" s="26"/>
      <c r="F34" s="26"/>
    </row>
    <row r="35" spans="1:6" ht="30.75" customHeight="1" x14ac:dyDescent="0.55000000000000004">
      <c r="A35" s="26" t="s">
        <v>137</v>
      </c>
      <c r="B35" s="26"/>
      <c r="C35" s="26"/>
      <c r="D35" s="26"/>
      <c r="E35" s="26"/>
      <c r="F35" s="26"/>
    </row>
    <row r="36" spans="1:6" ht="43.5" customHeight="1" x14ac:dyDescent="0.55000000000000004">
      <c r="A36" s="26" t="s">
        <v>138</v>
      </c>
      <c r="B36" s="26"/>
      <c r="C36" s="26"/>
      <c r="D36" s="26"/>
      <c r="E36" s="26"/>
      <c r="F36" s="26"/>
    </row>
    <row r="37" spans="1:6" ht="30.75" customHeight="1" x14ac:dyDescent="0.55000000000000004">
      <c r="A37" s="26" t="s">
        <v>139</v>
      </c>
      <c r="B37" s="26"/>
      <c r="C37" s="26"/>
      <c r="D37" s="26"/>
      <c r="E37" s="26"/>
      <c r="F37" s="26"/>
    </row>
  </sheetData>
  <mergeCells count="38">
    <mergeCell ref="A1:B3"/>
    <mergeCell ref="C1:F1"/>
    <mergeCell ref="C2:F2"/>
    <mergeCell ref="C3:F3"/>
    <mergeCell ref="A5:F5"/>
    <mergeCell ref="A6:B6"/>
    <mergeCell ref="E6:F6"/>
    <mergeCell ref="A7:B7"/>
    <mergeCell ref="E7:F7"/>
    <mergeCell ref="A8:B8"/>
    <mergeCell ref="E8:F8"/>
    <mergeCell ref="A18:F18"/>
    <mergeCell ref="A19:B19"/>
    <mergeCell ref="E19:F19"/>
    <mergeCell ref="A20:B20"/>
    <mergeCell ref="E20:F20"/>
    <mergeCell ref="A21:B21"/>
    <mergeCell ref="E21:F21"/>
    <mergeCell ref="A23:F23"/>
    <mergeCell ref="A24:B24"/>
    <mergeCell ref="E24:F24"/>
    <mergeCell ref="A25:B25"/>
    <mergeCell ref="C25:F25"/>
    <mergeCell ref="A27:C27"/>
    <mergeCell ref="E27:F27"/>
    <mergeCell ref="A28:C28"/>
    <mergeCell ref="E28:F28"/>
    <mergeCell ref="A29:C29"/>
    <mergeCell ref="E29:F29"/>
    <mergeCell ref="A30:C30"/>
    <mergeCell ref="E30:F30"/>
    <mergeCell ref="A31:C31"/>
    <mergeCell ref="E31:F31"/>
    <mergeCell ref="A33:F33"/>
    <mergeCell ref="A34:F34"/>
    <mergeCell ref="A35:F35"/>
    <mergeCell ref="A36:F36"/>
    <mergeCell ref="A37:F37"/>
  </mergeCells>
  <dataValidations count="2">
    <dataValidation type="list" allowBlank="1" sqref="C19" xr:uid="{00000000-0002-0000-0100-000000000000}">
      <formula1>"Approved,Rejected"</formula1>
      <formula2>0</formula2>
    </dataValidation>
    <dataValidation type="list" allowBlank="1" sqref="C24" xr:uid="{00000000-0002-0000-0100-000001000000}">
      <formula1>"Available in stock,Not available"</formula1>
      <formula2>0</formula2>
    </dataValidation>
  </dataValidations>
  <pageMargins left="0.5" right="0.5" top="1" bottom="1" header="0.511811023622047" footer="0.5"/>
  <pageSetup paperSize="9" fitToHeight="0" orientation="portrait" horizontalDpi="300" verticalDpi="300"/>
  <headerFooter>
    <oddFooter>&amp;LIN-01 | Crest Point Consulting Group&amp;CPage &amp;P of &amp;N&amp;RStrictly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F39"/>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140</v>
      </c>
      <c r="D2" s="41"/>
      <c r="E2" s="41"/>
      <c r="F2" s="41"/>
    </row>
    <row r="3" spans="1:6" ht="21.75" customHeight="1" x14ac:dyDescent="0.55000000000000004">
      <c r="A3" s="39"/>
      <c r="B3" s="39"/>
      <c r="C3" s="42" t="s">
        <v>141</v>
      </c>
      <c r="D3" s="42"/>
      <c r="E3" s="42"/>
      <c r="F3" s="42"/>
    </row>
    <row r="5" spans="1:6" ht="18" customHeight="1" x14ac:dyDescent="0.55000000000000004">
      <c r="A5" s="36" t="s">
        <v>142</v>
      </c>
      <c r="B5" s="36"/>
      <c r="C5" s="36"/>
      <c r="D5" s="36"/>
      <c r="E5" s="36"/>
      <c r="F5" s="36"/>
    </row>
    <row r="6" spans="1:6" ht="19.5" customHeight="1" x14ac:dyDescent="0.55000000000000004">
      <c r="A6" s="28" t="s">
        <v>143</v>
      </c>
      <c r="B6" s="28"/>
      <c r="C6" s="11" t="s">
        <v>144</v>
      </c>
      <c r="D6" s="3" t="s">
        <v>145</v>
      </c>
      <c r="E6" s="38">
        <v>46308</v>
      </c>
      <c r="F6" s="38"/>
    </row>
    <row r="7" spans="1:6" ht="19.5" customHeight="1" x14ac:dyDescent="0.55000000000000004">
      <c r="A7" s="28" t="s">
        <v>146</v>
      </c>
      <c r="B7" s="28"/>
      <c r="C7" s="11" t="s">
        <v>89</v>
      </c>
      <c r="D7" s="3" t="s">
        <v>91</v>
      </c>
      <c r="E7" s="33" t="s">
        <v>92</v>
      </c>
      <c r="F7" s="33"/>
    </row>
    <row r="8" spans="1:6" ht="19.5" customHeight="1" x14ac:dyDescent="0.55000000000000004">
      <c r="A8" s="28" t="s">
        <v>147</v>
      </c>
      <c r="B8" s="28"/>
      <c r="C8" s="12" t="s">
        <v>148</v>
      </c>
      <c r="D8" s="3" t="s">
        <v>149</v>
      </c>
      <c r="E8" s="33" t="s">
        <v>150</v>
      </c>
      <c r="F8" s="33"/>
    </row>
    <row r="10" spans="1:6" ht="18" customHeight="1" x14ac:dyDescent="0.55000000000000004">
      <c r="A10" s="36" t="s">
        <v>151</v>
      </c>
      <c r="B10" s="36"/>
      <c r="C10" s="36"/>
      <c r="D10" s="36"/>
      <c r="E10" s="36"/>
      <c r="F10" s="36"/>
    </row>
    <row r="11" spans="1:6" ht="30" customHeight="1" x14ac:dyDescent="0.55000000000000004">
      <c r="A11" s="8" t="s">
        <v>99</v>
      </c>
      <c r="B11" s="8" t="s">
        <v>100</v>
      </c>
      <c r="C11" s="8" t="s">
        <v>101</v>
      </c>
      <c r="D11" s="8" t="s">
        <v>152</v>
      </c>
      <c r="E11" s="8" t="s">
        <v>153</v>
      </c>
      <c r="F11" s="8" t="s">
        <v>103</v>
      </c>
    </row>
    <row r="12" spans="1:6" ht="19.5" customHeight="1" x14ac:dyDescent="0.55000000000000004">
      <c r="A12" s="9">
        <v>1</v>
      </c>
      <c r="B12" s="12" t="s">
        <v>104</v>
      </c>
      <c r="C12" s="12" t="s">
        <v>105</v>
      </c>
      <c r="D12" s="12" t="s">
        <v>154</v>
      </c>
      <c r="E12" s="12">
        <v>10</v>
      </c>
      <c r="F12" s="12" t="s">
        <v>107</v>
      </c>
    </row>
    <row r="13" spans="1:6" ht="19.5" customHeight="1" x14ac:dyDescent="0.55000000000000004">
      <c r="A13" s="9">
        <v>2</v>
      </c>
      <c r="B13" s="12" t="s">
        <v>108</v>
      </c>
      <c r="C13" s="12" t="s">
        <v>109</v>
      </c>
      <c r="D13" s="12" t="s">
        <v>154</v>
      </c>
      <c r="E13" s="12">
        <v>2</v>
      </c>
      <c r="F13" s="12" t="s">
        <v>111</v>
      </c>
    </row>
    <row r="14" spans="1:6" ht="19.5" customHeight="1" x14ac:dyDescent="0.55000000000000004">
      <c r="A14" s="9">
        <v>3</v>
      </c>
      <c r="B14" s="12" t="s">
        <v>155</v>
      </c>
      <c r="C14" s="12" t="s">
        <v>156</v>
      </c>
      <c r="D14" s="12" t="s">
        <v>157</v>
      </c>
      <c r="E14" s="12">
        <v>1</v>
      </c>
      <c r="F14" s="12" t="s">
        <v>111</v>
      </c>
    </row>
    <row r="15" spans="1:6" ht="19.5" customHeight="1" x14ac:dyDescent="0.55000000000000004">
      <c r="A15" s="9">
        <v>4</v>
      </c>
      <c r="B15" s="2"/>
      <c r="C15" s="2"/>
      <c r="D15" s="2"/>
      <c r="E15" s="2"/>
      <c r="F15" s="2"/>
    </row>
    <row r="16" spans="1:6" ht="19.5" customHeight="1" x14ac:dyDescent="0.55000000000000004">
      <c r="A16" s="9">
        <v>5</v>
      </c>
      <c r="B16" s="2"/>
      <c r="C16" s="2"/>
      <c r="D16" s="2"/>
      <c r="E16" s="2"/>
      <c r="F16" s="2"/>
    </row>
    <row r="17" spans="1:6" ht="19.5" customHeight="1" x14ac:dyDescent="0.55000000000000004">
      <c r="A17" s="9">
        <v>6</v>
      </c>
      <c r="B17" s="2"/>
      <c r="C17" s="2"/>
      <c r="D17" s="2"/>
      <c r="E17" s="2"/>
      <c r="F17" s="2"/>
    </row>
    <row r="19" spans="1:6" ht="18" customHeight="1" x14ac:dyDescent="0.55000000000000004">
      <c r="A19" s="36" t="s">
        <v>158</v>
      </c>
      <c r="B19" s="36"/>
      <c r="C19" s="36"/>
      <c r="D19" s="36"/>
      <c r="E19" s="36"/>
      <c r="F19" s="36"/>
    </row>
    <row r="20" spans="1:6" ht="30.75" customHeight="1" x14ac:dyDescent="0.55000000000000004">
      <c r="A20" s="28" t="s">
        <v>159</v>
      </c>
      <c r="B20" s="28"/>
      <c r="C20" s="12" t="s">
        <v>160</v>
      </c>
      <c r="D20" s="3" t="s">
        <v>161</v>
      </c>
      <c r="E20" s="43" t="s">
        <v>162</v>
      </c>
      <c r="F20" s="43"/>
    </row>
    <row r="21" spans="1:6" ht="19.5" customHeight="1" x14ac:dyDescent="0.55000000000000004">
      <c r="A21" s="28" t="s">
        <v>163</v>
      </c>
      <c r="B21" s="28"/>
      <c r="C21" s="11" t="s">
        <v>92</v>
      </c>
      <c r="D21" s="3" t="s">
        <v>164</v>
      </c>
      <c r="E21" s="38">
        <v>46308</v>
      </c>
      <c r="F21" s="38"/>
    </row>
    <row r="23" spans="1:6" ht="18" customHeight="1" x14ac:dyDescent="0.55000000000000004">
      <c r="A23" s="36" t="s">
        <v>165</v>
      </c>
      <c r="B23" s="36"/>
      <c r="C23" s="36"/>
      <c r="D23" s="36"/>
      <c r="E23" s="36"/>
      <c r="F23" s="36"/>
    </row>
    <row r="24" spans="1:6" ht="30" customHeight="1" x14ac:dyDescent="0.55000000000000004">
      <c r="A24" s="28" t="s">
        <v>166</v>
      </c>
      <c r="B24" s="28"/>
      <c r="C24" s="33" t="str">
        <f>IF(COUNTIF(D12:D17,"Consumable")&gt;0,"Expensed at confirmed issuance: Dr Relevant Expense Account / Cr Inventory Account","No consumable lines")</f>
        <v>Expensed at confirmed issuance: Dr Relevant Expense Account / Cr Inventory Account</v>
      </c>
      <c r="D24" s="33"/>
      <c r="E24" s="33"/>
      <c r="F24" s="33"/>
    </row>
    <row r="25" spans="1:6" ht="30" customHeight="1" x14ac:dyDescent="0.55000000000000004">
      <c r="A25" s="28" t="s">
        <v>167</v>
      </c>
      <c r="B25" s="28"/>
      <c r="C25" s="33" t="str">
        <f>IF(COUNTIF(D12:D17,"Non-consumable")&gt;0,"Asset handover recorded as Asset - In Use (see IN-03): Dr Asset - In Use / Cr Inventory Account","No non-consumable lines")</f>
        <v>Asset handover recorded as Asset - In Use (see IN-03): Dr Asset - In Use / Cr Inventory Account</v>
      </c>
      <c r="D25" s="33"/>
      <c r="E25" s="33"/>
      <c r="F25" s="33"/>
    </row>
    <row r="26" spans="1:6" ht="21.75" customHeight="1" x14ac:dyDescent="0.55000000000000004">
      <c r="A26" s="28" t="s">
        <v>168</v>
      </c>
      <c r="B26" s="28"/>
      <c r="C26" s="33" t="s">
        <v>169</v>
      </c>
      <c r="D26" s="33"/>
      <c r="E26" s="33"/>
      <c r="F26" s="33"/>
    </row>
    <row r="28" spans="1:6" ht="30.75" customHeight="1" x14ac:dyDescent="0.55000000000000004">
      <c r="A28" s="34" t="s">
        <v>170</v>
      </c>
      <c r="B28" s="34"/>
      <c r="C28" s="34"/>
      <c r="D28" s="14" t="s">
        <v>171</v>
      </c>
      <c r="E28" s="34" t="s">
        <v>172</v>
      </c>
      <c r="F28" s="34"/>
    </row>
    <row r="29" spans="1:6" ht="19.5" customHeight="1" x14ac:dyDescent="0.55000000000000004">
      <c r="A29" s="27" t="s">
        <v>131</v>
      </c>
      <c r="B29" s="27"/>
      <c r="C29" s="27"/>
      <c r="D29" s="2" t="s">
        <v>131</v>
      </c>
      <c r="E29" s="27" t="s">
        <v>131</v>
      </c>
      <c r="F29" s="27"/>
    </row>
    <row r="30" spans="1:6" ht="19.5" customHeight="1" x14ac:dyDescent="0.55000000000000004">
      <c r="A30" s="27" t="s">
        <v>132</v>
      </c>
      <c r="B30" s="27"/>
      <c r="C30" s="27"/>
      <c r="D30" s="2" t="s">
        <v>132</v>
      </c>
      <c r="E30" s="27" t="s">
        <v>132</v>
      </c>
      <c r="F30" s="27"/>
    </row>
    <row r="31" spans="1:6" ht="43.5" customHeight="1" x14ac:dyDescent="0.55000000000000004">
      <c r="A31" s="32" t="s">
        <v>133</v>
      </c>
      <c r="B31" s="32"/>
      <c r="C31" s="32"/>
      <c r="D31" s="15" t="s">
        <v>133</v>
      </c>
      <c r="E31" s="32" t="s">
        <v>133</v>
      </c>
      <c r="F31" s="32"/>
    </row>
    <row r="32" spans="1:6" ht="19.5" customHeight="1" x14ac:dyDescent="0.55000000000000004">
      <c r="A32" s="27" t="s">
        <v>134</v>
      </c>
      <c r="B32" s="27"/>
      <c r="C32" s="27"/>
      <c r="D32" s="2" t="s">
        <v>134</v>
      </c>
      <c r="E32" s="27" t="s">
        <v>134</v>
      </c>
      <c r="F32" s="27"/>
    </row>
    <row r="34" spans="1:6" ht="18" customHeight="1" x14ac:dyDescent="0.55000000000000004">
      <c r="A34" s="28" t="s">
        <v>135</v>
      </c>
      <c r="B34" s="28"/>
      <c r="C34" s="28"/>
      <c r="D34" s="28"/>
      <c r="E34" s="28"/>
      <c r="F34" s="28"/>
    </row>
    <row r="35" spans="1:6" ht="30.75" customHeight="1" x14ac:dyDescent="0.55000000000000004">
      <c r="A35" s="26" t="s">
        <v>173</v>
      </c>
      <c r="B35" s="26"/>
      <c r="C35" s="26"/>
      <c r="D35" s="26"/>
      <c r="E35" s="26"/>
      <c r="F35" s="26"/>
    </row>
    <row r="36" spans="1:6" ht="30.75" customHeight="1" x14ac:dyDescent="0.55000000000000004">
      <c r="A36" s="26" t="s">
        <v>174</v>
      </c>
      <c r="B36" s="26"/>
      <c r="C36" s="26"/>
      <c r="D36" s="26"/>
      <c r="E36" s="26"/>
      <c r="F36" s="26"/>
    </row>
    <row r="37" spans="1:6" ht="30.75" customHeight="1" x14ac:dyDescent="0.55000000000000004">
      <c r="A37" s="26" t="s">
        <v>175</v>
      </c>
      <c r="B37" s="26"/>
      <c r="C37" s="26"/>
      <c r="D37" s="26"/>
      <c r="E37" s="26"/>
      <c r="F37" s="26"/>
    </row>
    <row r="38" spans="1:6" ht="43.5" customHeight="1" x14ac:dyDescent="0.55000000000000004">
      <c r="A38" s="26" t="s">
        <v>176</v>
      </c>
      <c r="B38" s="26"/>
      <c r="C38" s="26"/>
      <c r="D38" s="26"/>
      <c r="E38" s="26"/>
      <c r="F38" s="26"/>
    </row>
    <row r="39" spans="1:6" ht="43.5" customHeight="1" x14ac:dyDescent="0.55000000000000004">
      <c r="A39" s="26" t="s">
        <v>177</v>
      </c>
      <c r="B39" s="26"/>
      <c r="C39" s="26"/>
      <c r="D39" s="26"/>
      <c r="E39" s="26"/>
      <c r="F39" s="26"/>
    </row>
  </sheetData>
  <mergeCells count="40">
    <mergeCell ref="A1:B3"/>
    <mergeCell ref="C1:F1"/>
    <mergeCell ref="C2:F2"/>
    <mergeCell ref="C3:F3"/>
    <mergeCell ref="A5:F5"/>
    <mergeCell ref="A6:B6"/>
    <mergeCell ref="E6:F6"/>
    <mergeCell ref="A7:B7"/>
    <mergeCell ref="E7:F7"/>
    <mergeCell ref="A8:B8"/>
    <mergeCell ref="E8:F8"/>
    <mergeCell ref="A10:F10"/>
    <mergeCell ref="A19:F19"/>
    <mergeCell ref="A20:B20"/>
    <mergeCell ref="E20:F20"/>
    <mergeCell ref="A21:B21"/>
    <mergeCell ref="E21:F21"/>
    <mergeCell ref="A23:F23"/>
    <mergeCell ref="A24:B24"/>
    <mergeCell ref="C24:F24"/>
    <mergeCell ref="A25:B25"/>
    <mergeCell ref="C25:F25"/>
    <mergeCell ref="A26:B26"/>
    <mergeCell ref="C26:F26"/>
    <mergeCell ref="A28:C28"/>
    <mergeCell ref="E28:F28"/>
    <mergeCell ref="A29:C29"/>
    <mergeCell ref="E29:F29"/>
    <mergeCell ref="A30:C30"/>
    <mergeCell ref="E30:F30"/>
    <mergeCell ref="A31:C31"/>
    <mergeCell ref="E31:F31"/>
    <mergeCell ref="A32:C32"/>
    <mergeCell ref="E32:F32"/>
    <mergeCell ref="A39:F39"/>
    <mergeCell ref="A34:F34"/>
    <mergeCell ref="A35:F35"/>
    <mergeCell ref="A36:F36"/>
    <mergeCell ref="A37:F37"/>
    <mergeCell ref="A38:F38"/>
  </mergeCells>
  <dataValidations count="1">
    <dataValidation type="list" allowBlank="1" sqref="D12:D17" xr:uid="{00000000-0002-0000-0200-000000000000}">
      <formula1>"Consumable,Non-consumable"</formula1>
      <formula2>0</formula2>
    </dataValidation>
  </dataValidations>
  <pageMargins left="0.5" right="0.5" top="1" bottom="1" header="0.511811023622047" footer="0.5"/>
  <pageSetup paperSize="9" fitToHeight="0" orientation="portrait" horizontalDpi="300" verticalDpi="300"/>
  <headerFooter>
    <oddFooter>&amp;LIN-02 | Crest Point Consulting Group&amp;CPage &amp;P of &amp;N&amp;RStrictly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28"/>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178</v>
      </c>
      <c r="D2" s="41"/>
      <c r="E2" s="41"/>
      <c r="F2" s="41"/>
    </row>
    <row r="3" spans="1:6" ht="21.75" customHeight="1" x14ac:dyDescent="0.55000000000000004">
      <c r="A3" s="39"/>
      <c r="B3" s="39"/>
      <c r="C3" s="42" t="s">
        <v>179</v>
      </c>
      <c r="D3" s="42"/>
      <c r="E3" s="42"/>
      <c r="F3" s="42"/>
    </row>
    <row r="5" spans="1:6" ht="18" customHeight="1" x14ac:dyDescent="0.55000000000000004">
      <c r="A5" s="36" t="s">
        <v>180</v>
      </c>
      <c r="B5" s="36"/>
      <c r="C5" s="36"/>
      <c r="D5" s="36"/>
      <c r="E5" s="36"/>
      <c r="F5" s="36"/>
    </row>
    <row r="6" spans="1:6" ht="19.5" customHeight="1" x14ac:dyDescent="0.55000000000000004">
      <c r="A6" s="28" t="s">
        <v>181</v>
      </c>
      <c r="B6" s="28"/>
      <c r="C6" s="11" t="s">
        <v>182</v>
      </c>
      <c r="D6" s="3" t="s">
        <v>183</v>
      </c>
      <c r="E6" s="38">
        <v>46308</v>
      </c>
      <c r="F6" s="38"/>
    </row>
    <row r="7" spans="1:6" ht="19.5" customHeight="1" x14ac:dyDescent="0.55000000000000004">
      <c r="A7" s="28" t="s">
        <v>184</v>
      </c>
      <c r="B7" s="28"/>
      <c r="C7" s="11" t="s">
        <v>144</v>
      </c>
      <c r="D7" s="3" t="s">
        <v>185</v>
      </c>
      <c r="E7" s="33" t="s">
        <v>186</v>
      </c>
      <c r="F7" s="33"/>
    </row>
    <row r="8" spans="1:6" ht="19.5" customHeight="1" x14ac:dyDescent="0.55000000000000004">
      <c r="A8" s="28" t="s">
        <v>100</v>
      </c>
      <c r="B8" s="28"/>
      <c r="C8" s="11" t="s">
        <v>155</v>
      </c>
      <c r="D8" s="3" t="s">
        <v>101</v>
      </c>
      <c r="E8" s="33" t="s">
        <v>156</v>
      </c>
      <c r="F8" s="33"/>
    </row>
    <row r="10" spans="1:6" ht="18" customHeight="1" x14ac:dyDescent="0.55000000000000004">
      <c r="A10" s="36" t="s">
        <v>187</v>
      </c>
      <c r="B10" s="36"/>
      <c r="C10" s="36"/>
      <c r="D10" s="36"/>
      <c r="E10" s="36"/>
      <c r="F10" s="36"/>
    </row>
    <row r="11" spans="1:6" ht="19.5" customHeight="1" x14ac:dyDescent="0.55000000000000004">
      <c r="A11" s="28" t="s">
        <v>188</v>
      </c>
      <c r="B11" s="28"/>
      <c r="C11" s="12" t="s">
        <v>160</v>
      </c>
      <c r="D11" s="3" t="s">
        <v>161</v>
      </c>
      <c r="E11" s="43" t="s">
        <v>162</v>
      </c>
      <c r="F11" s="43"/>
    </row>
    <row r="12" spans="1:6" ht="19.5" customHeight="1" x14ac:dyDescent="0.55000000000000004">
      <c r="A12" s="28" t="s">
        <v>163</v>
      </c>
      <c r="B12" s="28"/>
      <c r="C12" s="12" t="s">
        <v>92</v>
      </c>
      <c r="D12" s="3" t="s">
        <v>93</v>
      </c>
      <c r="E12" s="33" t="s">
        <v>94</v>
      </c>
      <c r="F12" s="33"/>
    </row>
    <row r="14" spans="1:6" ht="18" customHeight="1" x14ac:dyDescent="0.55000000000000004">
      <c r="A14" s="36" t="s">
        <v>189</v>
      </c>
      <c r="B14" s="36"/>
      <c r="C14" s="36"/>
      <c r="D14" s="36"/>
      <c r="E14" s="36"/>
      <c r="F14" s="36"/>
    </row>
    <row r="15" spans="1:6" ht="21.75" customHeight="1" x14ac:dyDescent="0.55000000000000004">
      <c r="A15" s="28" t="s">
        <v>190</v>
      </c>
      <c r="B15" s="28"/>
      <c r="C15" s="33" t="s">
        <v>191</v>
      </c>
      <c r="D15" s="33"/>
      <c r="E15" s="33"/>
      <c r="F15" s="33"/>
    </row>
    <row r="16" spans="1:6" ht="21.75" customHeight="1" x14ac:dyDescent="0.55000000000000004">
      <c r="A16" s="28" t="s">
        <v>192</v>
      </c>
      <c r="B16" s="28"/>
      <c r="C16" s="33" t="s">
        <v>193</v>
      </c>
      <c r="D16" s="33"/>
      <c r="E16" s="33"/>
      <c r="F16" s="33"/>
    </row>
    <row r="17" spans="1:6" ht="30" customHeight="1" x14ac:dyDescent="0.55000000000000004">
      <c r="A17" s="28" t="s">
        <v>194</v>
      </c>
      <c r="B17" s="28"/>
      <c r="C17" s="33" t="s">
        <v>195</v>
      </c>
      <c r="D17" s="33"/>
      <c r="E17" s="33"/>
      <c r="F17" s="33"/>
    </row>
    <row r="19" spans="1:6" ht="30.75" customHeight="1" x14ac:dyDescent="0.55000000000000004">
      <c r="A19" s="34" t="s">
        <v>196</v>
      </c>
      <c r="B19" s="34"/>
      <c r="C19" s="34"/>
      <c r="D19" s="14" t="s">
        <v>171</v>
      </c>
      <c r="E19" s="34" t="s">
        <v>197</v>
      </c>
      <c r="F19" s="34"/>
    </row>
    <row r="20" spans="1:6" ht="19.5" customHeight="1" x14ac:dyDescent="0.55000000000000004">
      <c r="A20" s="27" t="s">
        <v>131</v>
      </c>
      <c r="B20" s="27"/>
      <c r="C20" s="27"/>
      <c r="D20" s="2" t="s">
        <v>131</v>
      </c>
      <c r="E20" s="27" t="s">
        <v>131</v>
      </c>
      <c r="F20" s="27"/>
    </row>
    <row r="21" spans="1:6" ht="19.5" customHeight="1" x14ac:dyDescent="0.55000000000000004">
      <c r="A21" s="27" t="s">
        <v>132</v>
      </c>
      <c r="B21" s="27"/>
      <c r="C21" s="27"/>
      <c r="D21" s="2" t="s">
        <v>132</v>
      </c>
      <c r="E21" s="27" t="s">
        <v>132</v>
      </c>
      <c r="F21" s="27"/>
    </row>
    <row r="22" spans="1:6" ht="43.5" customHeight="1" x14ac:dyDescent="0.55000000000000004">
      <c r="A22" s="32" t="s">
        <v>133</v>
      </c>
      <c r="B22" s="32"/>
      <c r="C22" s="32"/>
      <c r="D22" s="15" t="s">
        <v>133</v>
      </c>
      <c r="E22" s="32" t="s">
        <v>133</v>
      </c>
      <c r="F22" s="32"/>
    </row>
    <row r="23" spans="1:6" ht="19.5" customHeight="1" x14ac:dyDescent="0.55000000000000004">
      <c r="A23" s="27" t="s">
        <v>134</v>
      </c>
      <c r="B23" s="27"/>
      <c r="C23" s="27"/>
      <c r="D23" s="2" t="s">
        <v>134</v>
      </c>
      <c r="E23" s="27" t="s">
        <v>134</v>
      </c>
      <c r="F23" s="27"/>
    </row>
    <row r="25" spans="1:6" ht="18" customHeight="1" x14ac:dyDescent="0.55000000000000004">
      <c r="A25" s="28" t="s">
        <v>135</v>
      </c>
      <c r="B25" s="28"/>
      <c r="C25" s="28"/>
      <c r="D25" s="28"/>
      <c r="E25" s="28"/>
      <c r="F25" s="28"/>
    </row>
    <row r="26" spans="1:6" ht="30.75" customHeight="1" x14ac:dyDescent="0.55000000000000004">
      <c r="A26" s="26" t="s">
        <v>198</v>
      </c>
      <c r="B26" s="26"/>
      <c r="C26" s="26"/>
      <c r="D26" s="26"/>
      <c r="E26" s="26"/>
      <c r="F26" s="26"/>
    </row>
    <row r="27" spans="1:6" ht="30.75" customHeight="1" x14ac:dyDescent="0.55000000000000004">
      <c r="A27" s="26" t="s">
        <v>199</v>
      </c>
      <c r="B27" s="26"/>
      <c r="C27" s="26"/>
      <c r="D27" s="26"/>
      <c r="E27" s="26"/>
      <c r="F27" s="26"/>
    </row>
    <row r="28" spans="1:6" ht="30.75" customHeight="1" x14ac:dyDescent="0.55000000000000004">
      <c r="A28" s="26" t="s">
        <v>200</v>
      </c>
      <c r="B28" s="26"/>
      <c r="C28" s="26"/>
      <c r="D28" s="26"/>
      <c r="E28" s="26"/>
      <c r="F28" s="26"/>
    </row>
  </sheetData>
  <mergeCells count="37">
    <mergeCell ref="A1:B3"/>
    <mergeCell ref="C1:F1"/>
    <mergeCell ref="C2:F2"/>
    <mergeCell ref="C3:F3"/>
    <mergeCell ref="A5:F5"/>
    <mergeCell ref="A6:B6"/>
    <mergeCell ref="E6:F6"/>
    <mergeCell ref="A7:B7"/>
    <mergeCell ref="E7:F7"/>
    <mergeCell ref="A8:B8"/>
    <mergeCell ref="E8:F8"/>
    <mergeCell ref="A10:F10"/>
    <mergeCell ref="A11:B11"/>
    <mergeCell ref="E11:F11"/>
    <mergeCell ref="A12:B12"/>
    <mergeCell ref="E12:F12"/>
    <mergeCell ref="A14:F14"/>
    <mergeCell ref="A15:B15"/>
    <mergeCell ref="C15:F15"/>
    <mergeCell ref="A16:B16"/>
    <mergeCell ref="C16:F16"/>
    <mergeCell ref="A17:B17"/>
    <mergeCell ref="C17:F17"/>
    <mergeCell ref="A19:C19"/>
    <mergeCell ref="E19:F19"/>
    <mergeCell ref="A20:C20"/>
    <mergeCell ref="E20:F20"/>
    <mergeCell ref="A25:F25"/>
    <mergeCell ref="A26:F26"/>
    <mergeCell ref="A27:F27"/>
    <mergeCell ref="A28:F28"/>
    <mergeCell ref="A21:C21"/>
    <mergeCell ref="E21:F21"/>
    <mergeCell ref="A22:C22"/>
    <mergeCell ref="E22:F22"/>
    <mergeCell ref="A23:C23"/>
    <mergeCell ref="E23:F23"/>
  </mergeCells>
  <pageMargins left="0.5" right="0.5" top="1" bottom="1" header="0.511811023622047" footer="0.5"/>
  <pageSetup paperSize="9" fitToHeight="0" orientation="portrait" horizontalDpi="300" verticalDpi="300"/>
  <headerFooter>
    <oddFooter>&amp;LIN-03 | Crest Point Consulting Group&amp;CPage &amp;P of &amp;N&amp;RStrictly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F36"/>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201</v>
      </c>
      <c r="D2" s="41"/>
      <c r="E2" s="41"/>
      <c r="F2" s="41"/>
    </row>
    <row r="3" spans="1:6" ht="21.75" customHeight="1" x14ac:dyDescent="0.55000000000000004">
      <c r="A3" s="39"/>
      <c r="B3" s="39"/>
      <c r="C3" s="42" t="s">
        <v>202</v>
      </c>
      <c r="D3" s="42"/>
      <c r="E3" s="42"/>
      <c r="F3" s="42"/>
    </row>
    <row r="5" spans="1:6" ht="18" customHeight="1" x14ac:dyDescent="0.55000000000000004">
      <c r="A5" s="36" t="s">
        <v>87</v>
      </c>
      <c r="B5" s="36"/>
      <c r="C5" s="36"/>
      <c r="D5" s="36"/>
      <c r="E5" s="36"/>
      <c r="F5" s="36"/>
    </row>
    <row r="6" spans="1:6" ht="19.5" customHeight="1" x14ac:dyDescent="0.55000000000000004">
      <c r="A6" s="28" t="s">
        <v>203</v>
      </c>
      <c r="B6" s="28"/>
      <c r="C6" s="11" t="s">
        <v>204</v>
      </c>
      <c r="D6" s="3" t="s">
        <v>90</v>
      </c>
      <c r="E6" s="38">
        <v>46303</v>
      </c>
      <c r="F6" s="38"/>
    </row>
    <row r="7" spans="1:6" ht="19.5" customHeight="1" x14ac:dyDescent="0.55000000000000004">
      <c r="A7" s="28" t="s">
        <v>91</v>
      </c>
      <c r="B7" s="28"/>
      <c r="C7" s="11" t="s">
        <v>205</v>
      </c>
      <c r="D7" s="3" t="s">
        <v>206</v>
      </c>
      <c r="E7" s="33" t="s">
        <v>207</v>
      </c>
      <c r="F7" s="33"/>
    </row>
    <row r="8" spans="1:6" ht="19.5" customHeight="1" x14ac:dyDescent="0.55000000000000004">
      <c r="A8" s="28" t="s">
        <v>93</v>
      </c>
      <c r="B8" s="28"/>
      <c r="C8" s="11" t="s">
        <v>94</v>
      </c>
      <c r="D8" s="3" t="s">
        <v>208</v>
      </c>
      <c r="E8" s="33" t="s">
        <v>150</v>
      </c>
      <c r="F8" s="33"/>
    </row>
    <row r="10" spans="1:6" ht="30.75" customHeight="1" x14ac:dyDescent="0.55000000000000004">
      <c r="A10" s="8" t="s">
        <v>99</v>
      </c>
      <c r="B10" s="8" t="s">
        <v>100</v>
      </c>
      <c r="C10" s="8" t="s">
        <v>101</v>
      </c>
      <c r="D10" s="8" t="s">
        <v>209</v>
      </c>
      <c r="E10" s="8" t="s">
        <v>102</v>
      </c>
      <c r="F10" s="8" t="s">
        <v>210</v>
      </c>
    </row>
    <row r="11" spans="1:6" ht="30.75" customHeight="1" x14ac:dyDescent="0.55000000000000004">
      <c r="A11" s="9">
        <v>1</v>
      </c>
      <c r="B11" s="12"/>
      <c r="C11" s="12" t="s">
        <v>211</v>
      </c>
      <c r="D11" s="12" t="s">
        <v>212</v>
      </c>
      <c r="E11" s="12">
        <v>10000</v>
      </c>
      <c r="F11" s="16">
        <v>420000</v>
      </c>
    </row>
    <row r="12" spans="1:6" ht="21.75" customHeight="1" x14ac:dyDescent="0.55000000000000004">
      <c r="A12" s="9">
        <v>2</v>
      </c>
      <c r="B12" s="2"/>
      <c r="C12" s="2"/>
      <c r="D12" s="2"/>
      <c r="E12" s="2"/>
      <c r="F12" s="17"/>
    </row>
    <row r="13" spans="1:6" ht="21.75" customHeight="1" x14ac:dyDescent="0.55000000000000004">
      <c r="A13" s="9">
        <v>3</v>
      </c>
      <c r="B13" s="2"/>
      <c r="C13" s="2"/>
      <c r="D13" s="2"/>
      <c r="E13" s="2"/>
      <c r="F13" s="17"/>
    </row>
    <row r="14" spans="1:6" ht="21.75" customHeight="1" x14ac:dyDescent="0.55000000000000004">
      <c r="A14" s="9">
        <v>4</v>
      </c>
      <c r="B14" s="2"/>
      <c r="C14" s="2"/>
      <c r="D14" s="2"/>
      <c r="E14" s="2"/>
      <c r="F14" s="17"/>
    </row>
    <row r="15" spans="1:6" ht="21.75" customHeight="1" x14ac:dyDescent="0.55000000000000004">
      <c r="A15" s="9">
        <v>5</v>
      </c>
      <c r="B15" s="2"/>
      <c r="C15" s="2"/>
      <c r="D15" s="2"/>
      <c r="E15" s="2"/>
      <c r="F15" s="17"/>
    </row>
    <row r="16" spans="1:6" ht="21.75" customHeight="1" x14ac:dyDescent="0.55000000000000004">
      <c r="A16" s="9">
        <v>6</v>
      </c>
      <c r="B16" s="2"/>
      <c r="C16" s="2"/>
      <c r="D16" s="2"/>
      <c r="E16" s="2"/>
      <c r="F16" s="17"/>
    </row>
    <row r="17" spans="1:6" ht="18" customHeight="1" x14ac:dyDescent="0.55000000000000004">
      <c r="A17" s="44" t="s">
        <v>213</v>
      </c>
      <c r="B17" s="44"/>
      <c r="C17" s="44"/>
      <c r="D17" s="44"/>
      <c r="E17" s="44"/>
      <c r="F17" s="18">
        <f>SUM(F11:F16)</f>
        <v>420000</v>
      </c>
    </row>
    <row r="19" spans="1:6" ht="18" customHeight="1" x14ac:dyDescent="0.55000000000000004">
      <c r="A19" s="36" t="s">
        <v>214</v>
      </c>
      <c r="B19" s="36"/>
      <c r="C19" s="36"/>
      <c r="D19" s="36"/>
      <c r="E19" s="36"/>
      <c r="F19" s="36"/>
    </row>
    <row r="20" spans="1:6" ht="30.75" customHeight="1" x14ac:dyDescent="0.55000000000000004">
      <c r="A20" s="28" t="s">
        <v>113</v>
      </c>
      <c r="B20" s="28"/>
      <c r="C20" s="12" t="s">
        <v>114</v>
      </c>
      <c r="D20" s="3" t="s">
        <v>115</v>
      </c>
      <c r="E20" s="37">
        <v>46303</v>
      </c>
      <c r="F20" s="37"/>
    </row>
    <row r="21" spans="1:6" ht="43.5" customHeight="1" x14ac:dyDescent="0.55000000000000004">
      <c r="A21" s="28" t="s">
        <v>116</v>
      </c>
      <c r="B21" s="28"/>
      <c r="C21" s="12" t="s">
        <v>215</v>
      </c>
      <c r="D21" s="3" t="s">
        <v>118</v>
      </c>
      <c r="E21" s="38">
        <v>46303</v>
      </c>
      <c r="F21" s="38"/>
    </row>
    <row r="22" spans="1:6" ht="30.75" customHeight="1" x14ac:dyDescent="0.55000000000000004">
      <c r="A22" s="28" t="s">
        <v>119</v>
      </c>
      <c r="B22" s="28"/>
      <c r="C22" s="12" t="s">
        <v>216</v>
      </c>
      <c r="D22" s="3" t="s">
        <v>217</v>
      </c>
      <c r="E22" s="33" t="s">
        <v>218</v>
      </c>
      <c r="F22" s="33"/>
    </row>
    <row r="23" spans="1:6" ht="19.5" customHeight="1" x14ac:dyDescent="0.55000000000000004">
      <c r="A23" s="28" t="s">
        <v>97</v>
      </c>
      <c r="B23" s="28"/>
      <c r="C23" s="11" t="s">
        <v>219</v>
      </c>
      <c r="D23" s="3" t="s">
        <v>220</v>
      </c>
      <c r="E23" s="37">
        <v>46304</v>
      </c>
      <c r="F23" s="37"/>
    </row>
    <row r="25" spans="1:6" ht="30.75" customHeight="1" x14ac:dyDescent="0.55000000000000004">
      <c r="A25" s="34" t="s">
        <v>221</v>
      </c>
      <c r="B25" s="34"/>
      <c r="C25" s="34"/>
      <c r="D25" s="34" t="s">
        <v>129</v>
      </c>
      <c r="E25" s="34"/>
      <c r="F25" s="34"/>
    </row>
    <row r="26" spans="1:6" ht="19.5" customHeight="1" x14ac:dyDescent="0.55000000000000004">
      <c r="A26" s="27" t="s">
        <v>131</v>
      </c>
      <c r="B26" s="27"/>
      <c r="C26" s="27"/>
      <c r="D26" s="27" t="s">
        <v>131</v>
      </c>
      <c r="E26" s="27"/>
      <c r="F26" s="27"/>
    </row>
    <row r="27" spans="1:6" ht="19.5" customHeight="1" x14ac:dyDescent="0.55000000000000004">
      <c r="A27" s="27" t="s">
        <v>132</v>
      </c>
      <c r="B27" s="27"/>
      <c r="C27" s="27"/>
      <c r="D27" s="27" t="s">
        <v>132</v>
      </c>
      <c r="E27" s="27"/>
      <c r="F27" s="27"/>
    </row>
    <row r="28" spans="1:6" ht="43.5" customHeight="1" x14ac:dyDescent="0.55000000000000004">
      <c r="A28" s="32" t="s">
        <v>133</v>
      </c>
      <c r="B28" s="32"/>
      <c r="C28" s="32"/>
      <c r="D28" s="32" t="s">
        <v>133</v>
      </c>
      <c r="E28" s="32"/>
      <c r="F28" s="32"/>
    </row>
    <row r="29" spans="1:6" ht="19.5" customHeight="1" x14ac:dyDescent="0.55000000000000004">
      <c r="A29" s="27" t="s">
        <v>134</v>
      </c>
      <c r="B29" s="27"/>
      <c r="C29" s="27"/>
      <c r="D29" s="27" t="s">
        <v>134</v>
      </c>
      <c r="E29" s="27"/>
      <c r="F29" s="27"/>
    </row>
    <row r="31" spans="1:6" ht="18" customHeight="1" x14ac:dyDescent="0.55000000000000004">
      <c r="A31" s="28" t="s">
        <v>135</v>
      </c>
      <c r="B31" s="28"/>
      <c r="C31" s="28"/>
      <c r="D31" s="28"/>
      <c r="E31" s="28"/>
      <c r="F31" s="28"/>
    </row>
    <row r="32" spans="1:6" ht="27.75" customHeight="1" x14ac:dyDescent="0.55000000000000004">
      <c r="A32" s="26" t="s">
        <v>222</v>
      </c>
      <c r="B32" s="26"/>
      <c r="C32" s="26"/>
      <c r="D32" s="26"/>
      <c r="E32" s="26"/>
      <c r="F32" s="26"/>
    </row>
    <row r="33" spans="1:6" ht="30.75" customHeight="1" x14ac:dyDescent="0.55000000000000004">
      <c r="A33" s="26" t="s">
        <v>223</v>
      </c>
      <c r="B33" s="26"/>
      <c r="C33" s="26"/>
      <c r="D33" s="26"/>
      <c r="E33" s="26"/>
      <c r="F33" s="26"/>
    </row>
    <row r="34" spans="1:6" ht="43.5" customHeight="1" x14ac:dyDescent="0.55000000000000004">
      <c r="A34" s="26" t="s">
        <v>224</v>
      </c>
      <c r="B34" s="26"/>
      <c r="C34" s="26"/>
      <c r="D34" s="26"/>
      <c r="E34" s="26"/>
      <c r="F34" s="26"/>
    </row>
    <row r="35" spans="1:6" ht="43.5" customHeight="1" x14ac:dyDescent="0.55000000000000004">
      <c r="A35" s="26" t="s">
        <v>225</v>
      </c>
      <c r="B35" s="26"/>
      <c r="C35" s="26"/>
      <c r="D35" s="26"/>
      <c r="E35" s="26"/>
      <c r="F35" s="26"/>
    </row>
    <row r="36" spans="1:6" ht="30.75" customHeight="1" x14ac:dyDescent="0.55000000000000004">
      <c r="A36" s="26" t="s">
        <v>226</v>
      </c>
      <c r="B36" s="26"/>
      <c r="C36" s="26"/>
      <c r="D36" s="26"/>
      <c r="E36" s="26"/>
      <c r="F36" s="26"/>
    </row>
  </sheetData>
  <mergeCells count="37">
    <mergeCell ref="A1:B3"/>
    <mergeCell ref="C1:F1"/>
    <mergeCell ref="C2:F2"/>
    <mergeCell ref="C3:F3"/>
    <mergeCell ref="A5:F5"/>
    <mergeCell ref="A6:B6"/>
    <mergeCell ref="E6:F6"/>
    <mergeCell ref="A7:B7"/>
    <mergeCell ref="E7:F7"/>
    <mergeCell ref="A8:B8"/>
    <mergeCell ref="E8:F8"/>
    <mergeCell ref="A17:E17"/>
    <mergeCell ref="A19:F19"/>
    <mergeCell ref="A20:B20"/>
    <mergeCell ref="E20:F20"/>
    <mergeCell ref="A21:B21"/>
    <mergeCell ref="E21:F21"/>
    <mergeCell ref="A22:B22"/>
    <mergeCell ref="E22:F22"/>
    <mergeCell ref="A23:B23"/>
    <mergeCell ref="E23:F23"/>
    <mergeCell ref="A25:C25"/>
    <mergeCell ref="D25:F25"/>
    <mergeCell ref="A26:C26"/>
    <mergeCell ref="D26:F26"/>
    <mergeCell ref="A27:C27"/>
    <mergeCell ref="D27:F27"/>
    <mergeCell ref="A28:C28"/>
    <mergeCell ref="D28:F28"/>
    <mergeCell ref="A34:F34"/>
    <mergeCell ref="A35:F35"/>
    <mergeCell ref="A36:F36"/>
    <mergeCell ref="A29:C29"/>
    <mergeCell ref="D29:F29"/>
    <mergeCell ref="A31:F31"/>
    <mergeCell ref="A32:F32"/>
    <mergeCell ref="A33:F33"/>
  </mergeCells>
  <dataValidations count="1">
    <dataValidation type="list" allowBlank="1" sqref="C20" xr:uid="{00000000-0002-0000-0400-000000000000}">
      <formula1>"Approved,Rejected"</formula1>
      <formula2>0</formula2>
    </dataValidation>
  </dataValidations>
  <pageMargins left="0.5" right="0.5" top="1" bottom="1" header="0.511811023622047" footer="0.5"/>
  <pageSetup paperSize="9" fitToHeight="0" orientation="portrait" horizontalDpi="300" verticalDpi="300"/>
  <headerFooter>
    <oddFooter>&amp;LIN-04 | Crest Point Consulting Group&amp;CPage &amp;P of &amp;N&amp;RStrictly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J36"/>
  <sheetViews>
    <sheetView showGridLines="0" zoomScaleNormal="100" workbookViewId="0"/>
  </sheetViews>
  <sheetFormatPr defaultColWidth="8.68359375" defaultRowHeight="14.4" x14ac:dyDescent="0.55000000000000004"/>
  <cols>
    <col min="1" max="1" width="6" customWidth="1"/>
    <col min="2" max="2" width="13" customWidth="1"/>
    <col min="3" max="3" width="30" customWidth="1"/>
    <col min="4" max="4" width="15" customWidth="1"/>
    <col min="5" max="6" width="11" customWidth="1"/>
    <col min="7" max="7" width="10" customWidth="1"/>
    <col min="8" max="8" width="16" customWidth="1"/>
    <col min="9" max="9" width="26" customWidth="1"/>
    <col min="10" max="10" width="40" customWidth="1"/>
  </cols>
  <sheetData>
    <row r="1" spans="1:10" ht="43.5" customHeight="1" x14ac:dyDescent="0.55000000000000004">
      <c r="A1" s="39" t="s">
        <v>84</v>
      </c>
      <c r="B1" s="39"/>
      <c r="C1" s="40" t="s">
        <v>0</v>
      </c>
      <c r="D1" s="40"/>
      <c r="E1" s="40"/>
      <c r="F1" s="40"/>
      <c r="G1" s="40"/>
      <c r="H1" s="40"/>
      <c r="I1" s="40"/>
      <c r="J1" s="40"/>
    </row>
    <row r="2" spans="1:10" ht="21.75" customHeight="1" x14ac:dyDescent="0.55000000000000004">
      <c r="A2" s="39"/>
      <c r="B2" s="39"/>
      <c r="C2" s="41" t="s">
        <v>227</v>
      </c>
      <c r="D2" s="41"/>
      <c r="E2" s="41"/>
      <c r="F2" s="41"/>
      <c r="G2" s="41"/>
      <c r="H2" s="41"/>
      <c r="I2" s="41"/>
      <c r="J2" s="41"/>
    </row>
    <row r="3" spans="1:10" ht="21.75" customHeight="1" x14ac:dyDescent="0.55000000000000004">
      <c r="A3" s="39"/>
      <c r="B3" s="39"/>
      <c r="C3" s="42" t="s">
        <v>228</v>
      </c>
      <c r="D3" s="42"/>
      <c r="E3" s="42"/>
      <c r="F3" s="42"/>
      <c r="G3" s="42"/>
      <c r="H3" s="42"/>
      <c r="I3" s="42"/>
      <c r="J3" s="42"/>
    </row>
    <row r="5" spans="1:10" ht="18" customHeight="1" x14ac:dyDescent="0.55000000000000004">
      <c r="A5" s="36" t="s">
        <v>229</v>
      </c>
      <c r="B5" s="36"/>
      <c r="C5" s="36"/>
      <c r="D5" s="36"/>
      <c r="E5" s="36"/>
      <c r="F5" s="36"/>
      <c r="G5" s="36"/>
      <c r="H5" s="36"/>
      <c r="I5" s="36"/>
      <c r="J5" s="36"/>
    </row>
    <row r="6" spans="1:10" ht="19.5" customHeight="1" x14ac:dyDescent="0.55000000000000004">
      <c r="A6" s="28" t="s">
        <v>230</v>
      </c>
      <c r="B6" s="28"/>
      <c r="C6" s="33" t="s">
        <v>231</v>
      </c>
      <c r="D6" s="33"/>
      <c r="E6" s="28" t="s">
        <v>232</v>
      </c>
      <c r="F6" s="28"/>
      <c r="G6" s="38">
        <v>46308</v>
      </c>
      <c r="H6" s="38"/>
      <c r="I6" s="38"/>
      <c r="J6" s="38"/>
    </row>
    <row r="7" spans="1:10" ht="19.5" customHeight="1" x14ac:dyDescent="0.55000000000000004">
      <c r="A7" s="28" t="s">
        <v>233</v>
      </c>
      <c r="B7" s="28"/>
      <c r="C7" s="43" t="s">
        <v>234</v>
      </c>
      <c r="D7" s="43"/>
      <c r="E7" s="28" t="s">
        <v>235</v>
      </c>
      <c r="F7" s="28"/>
      <c r="G7" s="43" t="s">
        <v>236</v>
      </c>
      <c r="H7" s="43"/>
      <c r="I7" s="43"/>
      <c r="J7" s="43"/>
    </row>
    <row r="8" spans="1:10" ht="30.75" customHeight="1" x14ac:dyDescent="0.55000000000000004">
      <c r="A8" s="28" t="s">
        <v>237</v>
      </c>
      <c r="B8" s="28"/>
      <c r="C8" s="33" t="s">
        <v>238</v>
      </c>
      <c r="D8" s="33"/>
      <c r="E8" s="28" t="s">
        <v>239</v>
      </c>
      <c r="F8" s="28"/>
      <c r="G8" s="33" t="s">
        <v>94</v>
      </c>
      <c r="H8" s="33"/>
      <c r="I8" s="33"/>
      <c r="J8" s="33"/>
    </row>
    <row r="9" spans="1:10" ht="30.75" customHeight="1" x14ac:dyDescent="0.55000000000000004">
      <c r="A9" s="28" t="s">
        <v>240</v>
      </c>
      <c r="B9" s="28"/>
      <c r="C9" s="33" t="s">
        <v>150</v>
      </c>
      <c r="D9" s="33"/>
      <c r="E9" s="28" t="s">
        <v>241</v>
      </c>
      <c r="F9" s="28"/>
      <c r="G9" s="33" t="s">
        <v>242</v>
      </c>
      <c r="H9" s="33"/>
      <c r="I9" s="33"/>
      <c r="J9" s="33"/>
    </row>
    <row r="11" spans="1:10" ht="43.5" customHeight="1" x14ac:dyDescent="0.55000000000000004">
      <c r="A11" s="8" t="s">
        <v>99</v>
      </c>
      <c r="B11" s="8" t="s">
        <v>100</v>
      </c>
      <c r="C11" s="8" t="s">
        <v>101</v>
      </c>
      <c r="D11" s="8" t="s">
        <v>243</v>
      </c>
      <c r="E11" s="8" t="s">
        <v>244</v>
      </c>
      <c r="F11" s="8" t="s">
        <v>245</v>
      </c>
      <c r="G11" s="8" t="s">
        <v>246</v>
      </c>
      <c r="H11" s="8" t="s">
        <v>247</v>
      </c>
      <c r="I11" s="8" t="s">
        <v>248</v>
      </c>
      <c r="J11" s="8" t="s">
        <v>249</v>
      </c>
    </row>
    <row r="12" spans="1:10" ht="24" customHeight="1" x14ac:dyDescent="0.55000000000000004">
      <c r="A12" s="9">
        <v>1</v>
      </c>
      <c r="B12" s="12" t="s">
        <v>250</v>
      </c>
      <c r="C12" s="12" t="s">
        <v>251</v>
      </c>
      <c r="D12" s="12" t="s">
        <v>252</v>
      </c>
      <c r="E12" s="12">
        <v>40</v>
      </c>
      <c r="F12" s="12">
        <v>40</v>
      </c>
      <c r="G12" s="5">
        <f t="shared" ref="G12:G19" si="0">IF(E12="","",F12-E12)</f>
        <v>0</v>
      </c>
      <c r="H12" s="12" t="s">
        <v>253</v>
      </c>
      <c r="I12" s="11" t="str">
        <f t="shared" ref="I12:I19" si="1">IF(E12="","",IF(F12&lt;&gt;E12,"DISCREPANCY - resolve before finalizing","Matched"))</f>
        <v>Matched</v>
      </c>
      <c r="J12" s="11" t="str">
        <f t="shared" ref="J12:J19" si="2">IF(D12="","",IF(D12="Expense item","Dr Relevant Expense Account / Cr Accounts Payable",IF(D12="Asset item","Dr Inventory Account / Cr Accounts Payable",IF(D12="Fixed asset","Dr Fixed Asset Account / Cr Accounts Payable (register in IN-07)",""))))</f>
        <v>Dr Relevant Expense Account / Cr Accounts Payable</v>
      </c>
    </row>
    <row r="13" spans="1:10" ht="30.75" customHeight="1" x14ac:dyDescent="0.55000000000000004">
      <c r="A13" s="9">
        <v>2</v>
      </c>
      <c r="B13" s="12" t="s">
        <v>254</v>
      </c>
      <c r="C13" s="12" t="s">
        <v>255</v>
      </c>
      <c r="D13" s="12" t="s">
        <v>256</v>
      </c>
      <c r="E13" s="12">
        <v>20</v>
      </c>
      <c r="F13" s="12">
        <v>18</v>
      </c>
      <c r="G13" s="5">
        <f t="shared" si="0"/>
        <v>-2</v>
      </c>
      <c r="H13" s="12" t="s">
        <v>257</v>
      </c>
      <c r="I13" s="11" t="str">
        <f t="shared" si="1"/>
        <v>DISCREPANCY - resolve before finalizing</v>
      </c>
      <c r="J13" s="11" t="str">
        <f t="shared" si="2"/>
        <v>Dr Inventory Account / Cr Accounts Payable</v>
      </c>
    </row>
    <row r="14" spans="1:10" ht="24" customHeight="1" x14ac:dyDescent="0.55000000000000004">
      <c r="A14" s="9">
        <v>3</v>
      </c>
      <c r="B14" s="12" t="s">
        <v>155</v>
      </c>
      <c r="C14" s="12" t="s">
        <v>258</v>
      </c>
      <c r="D14" s="12" t="s">
        <v>259</v>
      </c>
      <c r="E14" s="12">
        <v>5</v>
      </c>
      <c r="F14" s="12">
        <v>5</v>
      </c>
      <c r="G14" s="5">
        <f t="shared" si="0"/>
        <v>0</v>
      </c>
      <c r="H14" s="12" t="s">
        <v>253</v>
      </c>
      <c r="I14" s="11" t="str">
        <f t="shared" si="1"/>
        <v>Matched</v>
      </c>
      <c r="J14" s="11" t="str">
        <f t="shared" si="2"/>
        <v>Dr Fixed Asset Account / Cr Accounts Payable (register in IN-07)</v>
      </c>
    </row>
    <row r="15" spans="1:10" ht="24" customHeight="1" x14ac:dyDescent="0.55000000000000004">
      <c r="A15" s="9">
        <v>4</v>
      </c>
      <c r="B15" s="2"/>
      <c r="C15" s="2"/>
      <c r="D15" s="2"/>
      <c r="E15" s="2"/>
      <c r="F15" s="2"/>
      <c r="G15" s="5" t="str">
        <f t="shared" si="0"/>
        <v/>
      </c>
      <c r="H15" s="2"/>
      <c r="I15" s="11" t="str">
        <f t="shared" si="1"/>
        <v/>
      </c>
      <c r="J15" s="11" t="str">
        <f t="shared" si="2"/>
        <v/>
      </c>
    </row>
    <row r="16" spans="1:10" ht="24" customHeight="1" x14ac:dyDescent="0.55000000000000004">
      <c r="A16" s="9">
        <v>5</v>
      </c>
      <c r="B16" s="2"/>
      <c r="C16" s="2"/>
      <c r="D16" s="2"/>
      <c r="E16" s="2"/>
      <c r="F16" s="2"/>
      <c r="G16" s="5" t="str">
        <f t="shared" si="0"/>
        <v/>
      </c>
      <c r="H16" s="2"/>
      <c r="I16" s="11" t="str">
        <f t="shared" si="1"/>
        <v/>
      </c>
      <c r="J16" s="11" t="str">
        <f t="shared" si="2"/>
        <v/>
      </c>
    </row>
    <row r="17" spans="1:10" ht="24" customHeight="1" x14ac:dyDescent="0.55000000000000004">
      <c r="A17" s="9">
        <v>6</v>
      </c>
      <c r="B17" s="2"/>
      <c r="C17" s="2"/>
      <c r="D17" s="2"/>
      <c r="E17" s="2"/>
      <c r="F17" s="2"/>
      <c r="G17" s="5" t="str">
        <f t="shared" si="0"/>
        <v/>
      </c>
      <c r="H17" s="2"/>
      <c r="I17" s="11" t="str">
        <f t="shared" si="1"/>
        <v/>
      </c>
      <c r="J17" s="11" t="str">
        <f t="shared" si="2"/>
        <v/>
      </c>
    </row>
    <row r="18" spans="1:10" ht="24" customHeight="1" x14ac:dyDescent="0.55000000000000004">
      <c r="A18" s="9">
        <v>7</v>
      </c>
      <c r="B18" s="2"/>
      <c r="C18" s="2"/>
      <c r="D18" s="2"/>
      <c r="E18" s="2"/>
      <c r="F18" s="2"/>
      <c r="G18" s="5" t="str">
        <f t="shared" si="0"/>
        <v/>
      </c>
      <c r="H18" s="2"/>
      <c r="I18" s="11" t="str">
        <f t="shared" si="1"/>
        <v/>
      </c>
      <c r="J18" s="11" t="str">
        <f t="shared" si="2"/>
        <v/>
      </c>
    </row>
    <row r="19" spans="1:10" ht="24" customHeight="1" x14ac:dyDescent="0.55000000000000004">
      <c r="A19" s="9">
        <v>8</v>
      </c>
      <c r="B19" s="2"/>
      <c r="C19" s="2"/>
      <c r="D19" s="2"/>
      <c r="E19" s="2"/>
      <c r="F19" s="2"/>
      <c r="G19" s="5" t="str">
        <f t="shared" si="0"/>
        <v/>
      </c>
      <c r="H19" s="2"/>
      <c r="I19" s="11" t="str">
        <f t="shared" si="1"/>
        <v/>
      </c>
      <c r="J19" s="11" t="str">
        <f t="shared" si="2"/>
        <v/>
      </c>
    </row>
    <row r="21" spans="1:10" ht="18" customHeight="1" x14ac:dyDescent="0.55000000000000004">
      <c r="A21" s="36" t="s">
        <v>260</v>
      </c>
      <c r="B21" s="36"/>
      <c r="C21" s="36"/>
      <c r="D21" s="36"/>
      <c r="E21" s="36"/>
      <c r="F21" s="36"/>
      <c r="G21" s="36"/>
      <c r="H21" s="36"/>
      <c r="I21" s="36"/>
      <c r="J21" s="36"/>
    </row>
    <row r="22" spans="1:10" ht="18" customHeight="1" x14ac:dyDescent="0.55000000000000004">
      <c r="A22" s="28" t="s">
        <v>261</v>
      </c>
      <c r="B22" s="28"/>
      <c r="C22" s="28"/>
      <c r="D22" s="46" t="s">
        <v>262</v>
      </c>
      <c r="E22" s="46"/>
      <c r="F22" s="28" t="s">
        <v>263</v>
      </c>
      <c r="G22" s="28"/>
      <c r="H22" s="28"/>
      <c r="I22" s="46" t="s">
        <v>262</v>
      </c>
      <c r="J22" s="46"/>
    </row>
    <row r="23" spans="1:10" ht="30" customHeight="1" x14ac:dyDescent="0.55000000000000004">
      <c r="A23" s="28" t="s">
        <v>264</v>
      </c>
      <c r="B23" s="28"/>
      <c r="C23" s="28"/>
      <c r="D23" s="45" t="str">
        <f>IF(COUNTIF(I12:I19,"DISCREPANCY*")&gt;0,"Discrepancy flagged - the Inventory Officer must resolve it before the GRN is finalized and routed to the Department Head and Internal Control.","No discrepancy - GRN may be routed to Internal Control for mandatory verification (IN-06).")</f>
        <v>Discrepancy flagged - the Inventory Officer must resolve it before the GRN is finalized and routed to the Department Head and Internal Control.</v>
      </c>
      <c r="E23" s="45"/>
      <c r="F23" s="45"/>
      <c r="G23" s="45"/>
      <c r="H23" s="45"/>
      <c r="I23" s="45"/>
      <c r="J23" s="45"/>
    </row>
    <row r="25" spans="1:10" ht="30.75" customHeight="1" x14ac:dyDescent="0.55000000000000004">
      <c r="A25" s="34" t="s">
        <v>265</v>
      </c>
      <c r="B25" s="34"/>
      <c r="C25" s="34"/>
      <c r="D25" s="34"/>
      <c r="E25" s="34" t="s">
        <v>171</v>
      </c>
      <c r="F25" s="34"/>
      <c r="G25" s="34"/>
      <c r="H25" s="34"/>
      <c r="I25" s="34" t="s">
        <v>266</v>
      </c>
      <c r="J25" s="34"/>
    </row>
    <row r="26" spans="1:10" ht="19.5" customHeight="1" x14ac:dyDescent="0.55000000000000004">
      <c r="A26" s="27" t="s">
        <v>131</v>
      </c>
      <c r="B26" s="27"/>
      <c r="C26" s="27"/>
      <c r="D26" s="27"/>
      <c r="E26" s="27" t="s">
        <v>131</v>
      </c>
      <c r="F26" s="27"/>
      <c r="G26" s="27"/>
      <c r="H26" s="27"/>
      <c r="I26" s="27" t="s">
        <v>131</v>
      </c>
      <c r="J26" s="27"/>
    </row>
    <row r="27" spans="1:10" ht="19.5" customHeight="1" x14ac:dyDescent="0.55000000000000004">
      <c r="A27" s="27" t="s">
        <v>132</v>
      </c>
      <c r="B27" s="27"/>
      <c r="C27" s="27"/>
      <c r="D27" s="27"/>
      <c r="E27" s="27" t="s">
        <v>132</v>
      </c>
      <c r="F27" s="27"/>
      <c r="G27" s="27"/>
      <c r="H27" s="27"/>
      <c r="I27" s="27" t="s">
        <v>132</v>
      </c>
      <c r="J27" s="27"/>
    </row>
    <row r="28" spans="1:10" ht="43.5" customHeight="1" x14ac:dyDescent="0.55000000000000004">
      <c r="A28" s="32" t="s">
        <v>133</v>
      </c>
      <c r="B28" s="32"/>
      <c r="C28" s="32"/>
      <c r="D28" s="32"/>
      <c r="E28" s="32" t="s">
        <v>133</v>
      </c>
      <c r="F28" s="32"/>
      <c r="G28" s="32"/>
      <c r="H28" s="32"/>
      <c r="I28" s="32" t="s">
        <v>133</v>
      </c>
      <c r="J28" s="32"/>
    </row>
    <row r="29" spans="1:10" ht="19.5" customHeight="1" x14ac:dyDescent="0.55000000000000004">
      <c r="A29" s="27" t="s">
        <v>134</v>
      </c>
      <c r="B29" s="27"/>
      <c r="C29" s="27"/>
      <c r="D29" s="27"/>
      <c r="E29" s="27" t="s">
        <v>134</v>
      </c>
      <c r="F29" s="27"/>
      <c r="G29" s="27"/>
      <c r="H29" s="27"/>
      <c r="I29" s="27" t="s">
        <v>134</v>
      </c>
      <c r="J29" s="27"/>
    </row>
    <row r="31" spans="1:10" ht="18" customHeight="1" x14ac:dyDescent="0.55000000000000004">
      <c r="A31" s="28" t="s">
        <v>135</v>
      </c>
      <c r="B31" s="28"/>
      <c r="C31" s="28"/>
      <c r="D31" s="28"/>
      <c r="E31" s="28"/>
      <c r="F31" s="28"/>
      <c r="G31" s="28"/>
      <c r="H31" s="28"/>
      <c r="I31" s="28"/>
      <c r="J31" s="28"/>
    </row>
    <row r="32" spans="1:10" ht="25.5" customHeight="1" x14ac:dyDescent="0.55000000000000004">
      <c r="A32" s="26" t="s">
        <v>267</v>
      </c>
      <c r="B32" s="26"/>
      <c r="C32" s="26"/>
      <c r="D32" s="26"/>
      <c r="E32" s="26"/>
      <c r="F32" s="26"/>
      <c r="G32" s="26"/>
      <c r="H32" s="26"/>
      <c r="I32" s="26"/>
      <c r="J32" s="26"/>
    </row>
    <row r="33" spans="1:10" ht="25.5" customHeight="1" x14ac:dyDescent="0.55000000000000004">
      <c r="A33" s="26" t="s">
        <v>268</v>
      </c>
      <c r="B33" s="26"/>
      <c r="C33" s="26"/>
      <c r="D33" s="26"/>
      <c r="E33" s="26"/>
      <c r="F33" s="26"/>
      <c r="G33" s="26"/>
      <c r="H33" s="26"/>
      <c r="I33" s="26"/>
      <c r="J33" s="26"/>
    </row>
    <row r="34" spans="1:10" ht="30.75" customHeight="1" x14ac:dyDescent="0.55000000000000004">
      <c r="A34" s="26" t="s">
        <v>269</v>
      </c>
      <c r="B34" s="26"/>
      <c r="C34" s="26"/>
      <c r="D34" s="26"/>
      <c r="E34" s="26"/>
      <c r="F34" s="26"/>
      <c r="G34" s="26"/>
      <c r="H34" s="26"/>
      <c r="I34" s="26"/>
      <c r="J34" s="26"/>
    </row>
    <row r="35" spans="1:10" ht="30.75" customHeight="1" x14ac:dyDescent="0.55000000000000004">
      <c r="A35" s="26" t="s">
        <v>270</v>
      </c>
      <c r="B35" s="26"/>
      <c r="C35" s="26"/>
      <c r="D35" s="26"/>
      <c r="E35" s="26"/>
      <c r="F35" s="26"/>
      <c r="G35" s="26"/>
      <c r="H35" s="26"/>
      <c r="I35" s="26"/>
      <c r="J35" s="26"/>
    </row>
    <row r="36" spans="1:10" ht="30.75" customHeight="1" x14ac:dyDescent="0.55000000000000004">
      <c r="A36" s="26" t="s">
        <v>177</v>
      </c>
      <c r="B36" s="26"/>
      <c r="C36" s="26"/>
      <c r="D36" s="26"/>
      <c r="E36" s="26"/>
      <c r="F36" s="26"/>
      <c r="G36" s="26"/>
      <c r="H36" s="26"/>
      <c r="I36" s="26"/>
      <c r="J36" s="26"/>
    </row>
  </sheetData>
  <mergeCells count="49">
    <mergeCell ref="A1:B3"/>
    <mergeCell ref="C1:J1"/>
    <mergeCell ref="C2:J2"/>
    <mergeCell ref="C3:J3"/>
    <mergeCell ref="A5:J5"/>
    <mergeCell ref="A6:B6"/>
    <mergeCell ref="C6:D6"/>
    <mergeCell ref="E6:F6"/>
    <mergeCell ref="G6:J6"/>
    <mergeCell ref="A7:B7"/>
    <mergeCell ref="C7:D7"/>
    <mergeCell ref="E7:F7"/>
    <mergeCell ref="G7:J7"/>
    <mergeCell ref="A8:B8"/>
    <mergeCell ref="C8:D8"/>
    <mergeCell ref="E8:F8"/>
    <mergeCell ref="G8:J8"/>
    <mergeCell ref="A9:B9"/>
    <mergeCell ref="C9:D9"/>
    <mergeCell ref="E9:F9"/>
    <mergeCell ref="G9:J9"/>
    <mergeCell ref="A21:J21"/>
    <mergeCell ref="A22:C22"/>
    <mergeCell ref="D22:E22"/>
    <mergeCell ref="F22:H22"/>
    <mergeCell ref="I22:J22"/>
    <mergeCell ref="A23:C23"/>
    <mergeCell ref="D23:J23"/>
    <mergeCell ref="A25:D25"/>
    <mergeCell ref="E25:H25"/>
    <mergeCell ref="I25:J25"/>
    <mergeCell ref="A26:D26"/>
    <mergeCell ref="E26:H26"/>
    <mergeCell ref="I26:J26"/>
    <mergeCell ref="A27:D27"/>
    <mergeCell ref="E27:H27"/>
    <mergeCell ref="I27:J27"/>
    <mergeCell ref="A28:D28"/>
    <mergeCell ref="E28:H28"/>
    <mergeCell ref="I28:J28"/>
    <mergeCell ref="A29:D29"/>
    <mergeCell ref="E29:H29"/>
    <mergeCell ref="I29:J29"/>
    <mergeCell ref="A36:J36"/>
    <mergeCell ref="A31:J31"/>
    <mergeCell ref="A32:J32"/>
    <mergeCell ref="A33:J33"/>
    <mergeCell ref="A34:J34"/>
    <mergeCell ref="A35:J35"/>
  </mergeCells>
  <dataValidations count="2">
    <dataValidation type="list" allowBlank="1" sqref="G9" xr:uid="{00000000-0002-0000-0500-000000000000}">
      <formula1>"Draft,Pending IC verification,Rejected,Fully complete"</formula1>
      <formula2>0</formula2>
    </dataValidation>
    <dataValidation type="list" allowBlank="1" sqref="D12:D19" xr:uid="{00000000-0002-0000-0500-000001000000}">
      <formula1>"Expense item,Asset item,Fixed asset"</formula1>
      <formula2>0</formula2>
    </dataValidation>
  </dataValidations>
  <pageMargins left="0.5" right="0.5" top="1" bottom="1" header="0.511811023622047" footer="0.5"/>
  <pageSetup paperSize="9" fitToHeight="0" orientation="landscape" horizontalDpi="300" verticalDpi="300"/>
  <headerFooter>
    <oddFooter>&amp;LIN-05 | Crest Point Consulting Group&amp;CPage &amp;P of &amp;N&amp;RStrictly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F33"/>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271</v>
      </c>
      <c r="D2" s="41"/>
      <c r="E2" s="41"/>
      <c r="F2" s="41"/>
    </row>
    <row r="3" spans="1:6" ht="21.75" customHeight="1" x14ac:dyDescent="0.55000000000000004">
      <c r="A3" s="39"/>
      <c r="B3" s="39"/>
      <c r="C3" s="42" t="s">
        <v>272</v>
      </c>
      <c r="D3" s="42"/>
      <c r="E3" s="42"/>
      <c r="F3" s="42"/>
    </row>
    <row r="5" spans="1:6" ht="19.5" customHeight="1" x14ac:dyDescent="0.55000000000000004">
      <c r="A5" s="28" t="s">
        <v>273</v>
      </c>
      <c r="B5" s="28"/>
      <c r="C5" s="11" t="s">
        <v>274</v>
      </c>
      <c r="D5" s="3" t="s">
        <v>275</v>
      </c>
      <c r="E5" s="37">
        <v>46308</v>
      </c>
      <c r="F5" s="37"/>
    </row>
    <row r="6" spans="1:6" ht="19.5" customHeight="1" x14ac:dyDescent="0.55000000000000004">
      <c r="A6" s="28" t="s">
        <v>230</v>
      </c>
      <c r="B6" s="28"/>
      <c r="C6" s="11" t="s">
        <v>231</v>
      </c>
      <c r="D6" s="3" t="s">
        <v>276</v>
      </c>
      <c r="E6" s="33" t="s">
        <v>234</v>
      </c>
      <c r="F6" s="33"/>
    </row>
    <row r="7" spans="1:6" ht="19.5" customHeight="1" x14ac:dyDescent="0.55000000000000004">
      <c r="A7" s="28" t="s">
        <v>235</v>
      </c>
      <c r="B7" s="28"/>
      <c r="C7" s="11" t="s">
        <v>236</v>
      </c>
      <c r="D7" s="3" t="s">
        <v>93</v>
      </c>
      <c r="E7" s="33" t="s">
        <v>94</v>
      </c>
      <c r="F7" s="33"/>
    </row>
    <row r="8" spans="1:6" ht="19.5" customHeight="1" x14ac:dyDescent="0.55000000000000004">
      <c r="A8" s="28" t="s">
        <v>277</v>
      </c>
      <c r="B8" s="28"/>
      <c r="C8" s="11" t="s">
        <v>278</v>
      </c>
      <c r="D8" s="3" t="s">
        <v>279</v>
      </c>
      <c r="E8" s="33" t="s">
        <v>150</v>
      </c>
      <c r="F8" s="33"/>
    </row>
    <row r="10" spans="1:6" ht="18" customHeight="1" x14ac:dyDescent="0.55000000000000004">
      <c r="A10" s="36" t="s">
        <v>280</v>
      </c>
      <c r="B10" s="36"/>
      <c r="C10" s="36"/>
      <c r="D10" s="36"/>
      <c r="E10" s="36"/>
      <c r="F10" s="36"/>
    </row>
    <row r="11" spans="1:6" ht="30.75" customHeight="1" x14ac:dyDescent="0.55000000000000004">
      <c r="A11" s="8" t="s">
        <v>99</v>
      </c>
      <c r="B11" s="47" t="s">
        <v>281</v>
      </c>
      <c r="C11" s="47"/>
      <c r="D11" s="47"/>
      <c r="E11" s="8" t="s">
        <v>282</v>
      </c>
      <c r="F11" s="8" t="s">
        <v>283</v>
      </c>
    </row>
    <row r="12" spans="1:6" ht="30.75" customHeight="1" x14ac:dyDescent="0.55000000000000004">
      <c r="A12" s="9">
        <v>1</v>
      </c>
      <c r="B12" s="27" t="s">
        <v>284</v>
      </c>
      <c r="C12" s="27"/>
      <c r="D12" s="27"/>
      <c r="E12" s="4" t="s">
        <v>262</v>
      </c>
      <c r="F12" s="12"/>
    </row>
    <row r="13" spans="1:6" ht="30.75" customHeight="1" x14ac:dyDescent="0.55000000000000004">
      <c r="A13" s="9">
        <v>2</v>
      </c>
      <c r="B13" s="27" t="s">
        <v>285</v>
      </c>
      <c r="C13" s="27"/>
      <c r="D13" s="27"/>
      <c r="E13" s="4" t="s">
        <v>286</v>
      </c>
      <c r="F13" s="12" t="s">
        <v>287</v>
      </c>
    </row>
    <row r="14" spans="1:6" ht="27.75" customHeight="1" x14ac:dyDescent="0.55000000000000004">
      <c r="A14" s="9">
        <v>3</v>
      </c>
      <c r="B14" s="27" t="s">
        <v>288</v>
      </c>
      <c r="C14" s="27"/>
      <c r="D14" s="27"/>
      <c r="E14" s="4" t="s">
        <v>262</v>
      </c>
      <c r="F14" s="12"/>
    </row>
    <row r="15" spans="1:6" ht="27.75" customHeight="1" x14ac:dyDescent="0.55000000000000004">
      <c r="A15" s="9">
        <v>4</v>
      </c>
      <c r="B15" s="27" t="s">
        <v>289</v>
      </c>
      <c r="C15" s="27"/>
      <c r="D15" s="27"/>
      <c r="E15" s="4" t="s">
        <v>262</v>
      </c>
      <c r="F15" s="12"/>
    </row>
    <row r="17" spans="1:6" ht="21.75" customHeight="1" x14ac:dyDescent="0.55000000000000004">
      <c r="A17" s="28" t="s">
        <v>290</v>
      </c>
      <c r="B17" s="28"/>
      <c r="C17" s="33" t="str">
        <f>IF(COUNTBLANK(E12:E15)&gt;0,"INCOMPLETE",IF(COUNTIF(E12:E15,"No")&gt;0,"REJECT","VERIFY"))</f>
        <v>REJECT</v>
      </c>
      <c r="D17" s="33"/>
      <c r="E17" s="33"/>
      <c r="F17" s="33"/>
    </row>
    <row r="18" spans="1:6" ht="30.75" customHeight="1" x14ac:dyDescent="0.55000000000000004">
      <c r="A18" s="28" t="s">
        <v>291</v>
      </c>
      <c r="B18" s="28"/>
      <c r="C18" s="12" t="s">
        <v>292</v>
      </c>
      <c r="D18" s="3" t="s">
        <v>115</v>
      </c>
      <c r="E18" s="37">
        <v>46309</v>
      </c>
      <c r="F18" s="37"/>
    </row>
    <row r="19" spans="1:6" ht="39.75" customHeight="1" x14ac:dyDescent="0.55000000000000004">
      <c r="A19" s="28" t="s">
        <v>293</v>
      </c>
      <c r="B19" s="28"/>
      <c r="C19" s="43" t="s">
        <v>294</v>
      </c>
      <c r="D19" s="43"/>
      <c r="E19" s="43"/>
      <c r="F19" s="43"/>
    </row>
    <row r="20" spans="1:6" ht="43.5" customHeight="1" x14ac:dyDescent="0.55000000000000004">
      <c r="A20" s="28" t="s">
        <v>295</v>
      </c>
      <c r="B20" s="28"/>
      <c r="C20" s="33" t="s">
        <v>296</v>
      </c>
      <c r="D20" s="33"/>
      <c r="E20" s="33"/>
      <c r="F20" s="33"/>
    </row>
    <row r="21" spans="1:6" ht="31.5" customHeight="1" x14ac:dyDescent="0.55000000000000004">
      <c r="A21" s="28" t="s">
        <v>297</v>
      </c>
      <c r="B21" s="28"/>
      <c r="C21" s="33" t="s">
        <v>298</v>
      </c>
      <c r="D21" s="33"/>
      <c r="E21" s="33"/>
      <c r="F21" s="33"/>
    </row>
    <row r="23" spans="1:6" ht="30.75" customHeight="1" x14ac:dyDescent="0.55000000000000004">
      <c r="A23" s="34" t="s">
        <v>265</v>
      </c>
      <c r="B23" s="34"/>
      <c r="C23" s="34"/>
      <c r="D23" s="14" t="s">
        <v>171</v>
      </c>
      <c r="E23" s="34" t="s">
        <v>266</v>
      </c>
      <c r="F23" s="34"/>
    </row>
    <row r="24" spans="1:6" ht="19.5" customHeight="1" x14ac:dyDescent="0.55000000000000004">
      <c r="A24" s="27" t="s">
        <v>131</v>
      </c>
      <c r="B24" s="27"/>
      <c r="C24" s="27"/>
      <c r="D24" s="2" t="s">
        <v>131</v>
      </c>
      <c r="E24" s="27" t="s">
        <v>131</v>
      </c>
      <c r="F24" s="27"/>
    </row>
    <row r="25" spans="1:6" ht="19.5" customHeight="1" x14ac:dyDescent="0.55000000000000004">
      <c r="A25" s="27" t="s">
        <v>132</v>
      </c>
      <c r="B25" s="27"/>
      <c r="C25" s="27"/>
      <c r="D25" s="2" t="s">
        <v>132</v>
      </c>
      <c r="E25" s="27" t="s">
        <v>132</v>
      </c>
      <c r="F25" s="27"/>
    </row>
    <row r="26" spans="1:6" ht="43.5" customHeight="1" x14ac:dyDescent="0.55000000000000004">
      <c r="A26" s="32" t="s">
        <v>133</v>
      </c>
      <c r="B26" s="32"/>
      <c r="C26" s="32"/>
      <c r="D26" s="15" t="s">
        <v>133</v>
      </c>
      <c r="E26" s="32" t="s">
        <v>133</v>
      </c>
      <c r="F26" s="32"/>
    </row>
    <row r="27" spans="1:6" ht="19.5" customHeight="1" x14ac:dyDescent="0.55000000000000004">
      <c r="A27" s="27" t="s">
        <v>134</v>
      </c>
      <c r="B27" s="27"/>
      <c r="C27" s="27"/>
      <c r="D27" s="2" t="s">
        <v>134</v>
      </c>
      <c r="E27" s="27" t="s">
        <v>134</v>
      </c>
      <c r="F27" s="27"/>
    </row>
    <row r="29" spans="1:6" ht="18" customHeight="1" x14ac:dyDescent="0.55000000000000004">
      <c r="A29" s="28" t="s">
        <v>135</v>
      </c>
      <c r="B29" s="28"/>
      <c r="C29" s="28"/>
      <c r="D29" s="28"/>
      <c r="E29" s="28"/>
      <c r="F29" s="28"/>
    </row>
    <row r="30" spans="1:6" ht="30.75" customHeight="1" x14ac:dyDescent="0.55000000000000004">
      <c r="A30" s="26" t="s">
        <v>299</v>
      </c>
      <c r="B30" s="26"/>
      <c r="C30" s="26"/>
      <c r="D30" s="26"/>
      <c r="E30" s="26"/>
      <c r="F30" s="26"/>
    </row>
    <row r="31" spans="1:6" ht="27.75" customHeight="1" x14ac:dyDescent="0.55000000000000004">
      <c r="A31" s="26" t="s">
        <v>300</v>
      </c>
      <c r="B31" s="26"/>
      <c r="C31" s="26"/>
      <c r="D31" s="26"/>
      <c r="E31" s="26"/>
      <c r="F31" s="26"/>
    </row>
    <row r="32" spans="1:6" ht="30.75" customHeight="1" x14ac:dyDescent="0.55000000000000004">
      <c r="A32" s="26" t="s">
        <v>200</v>
      </c>
      <c r="B32" s="26"/>
      <c r="C32" s="26"/>
      <c r="D32" s="26"/>
      <c r="E32" s="26"/>
      <c r="F32" s="26"/>
    </row>
    <row r="33" spans="1:6" ht="43.5" customHeight="1" x14ac:dyDescent="0.55000000000000004">
      <c r="A33" s="26" t="s">
        <v>225</v>
      </c>
      <c r="B33" s="26"/>
      <c r="C33" s="26"/>
      <c r="D33" s="26"/>
      <c r="E33" s="26"/>
      <c r="F33" s="26"/>
    </row>
  </sheetData>
  <mergeCells count="43">
    <mergeCell ref="A1:B3"/>
    <mergeCell ref="C1:F1"/>
    <mergeCell ref="C2:F2"/>
    <mergeCell ref="C3:F3"/>
    <mergeCell ref="A5:B5"/>
    <mergeCell ref="E5:F5"/>
    <mergeCell ref="A6:B6"/>
    <mergeCell ref="E6:F6"/>
    <mergeCell ref="A7:B7"/>
    <mergeCell ref="E7:F7"/>
    <mergeCell ref="A8:B8"/>
    <mergeCell ref="E8:F8"/>
    <mergeCell ref="A10:F10"/>
    <mergeCell ref="B11:D11"/>
    <mergeCell ref="B12:D12"/>
    <mergeCell ref="B13:D13"/>
    <mergeCell ref="B14:D14"/>
    <mergeCell ref="B15:D15"/>
    <mergeCell ref="A17:B17"/>
    <mergeCell ref="C17:F17"/>
    <mergeCell ref="A18:B18"/>
    <mergeCell ref="E18:F18"/>
    <mergeCell ref="A19:B19"/>
    <mergeCell ref="C19:F19"/>
    <mergeCell ref="A20:B20"/>
    <mergeCell ref="C20:F20"/>
    <mergeCell ref="A21:B21"/>
    <mergeCell ref="C21:F21"/>
    <mergeCell ref="A23:C23"/>
    <mergeCell ref="E23:F23"/>
    <mergeCell ref="A24:C24"/>
    <mergeCell ref="E24:F24"/>
    <mergeCell ref="A25:C25"/>
    <mergeCell ref="E25:F25"/>
    <mergeCell ref="A30:F30"/>
    <mergeCell ref="A31:F31"/>
    <mergeCell ref="A32:F32"/>
    <mergeCell ref="A33:F33"/>
    <mergeCell ref="A26:C26"/>
    <mergeCell ref="E26:F26"/>
    <mergeCell ref="A27:C27"/>
    <mergeCell ref="E27:F27"/>
    <mergeCell ref="A29:F29"/>
  </mergeCells>
  <dataValidations count="2">
    <dataValidation type="list" allowBlank="1" sqref="E12:E15" xr:uid="{00000000-0002-0000-0600-000000000000}">
      <formula1>"Yes,No"</formula1>
      <formula2>0</formula2>
    </dataValidation>
    <dataValidation type="list" allowBlank="1" sqref="C18" xr:uid="{00000000-0002-0000-0600-000001000000}">
      <formula1>"Verified,Rejected"</formula1>
      <formula2>0</formula2>
    </dataValidation>
  </dataValidations>
  <pageMargins left="0.5" right="0.5" top="1" bottom="1" header="0.511811023622047" footer="0.5"/>
  <pageSetup paperSize="9" fitToHeight="0" orientation="portrait" horizontalDpi="300" verticalDpi="300"/>
  <headerFooter>
    <oddFooter>&amp;LIN-06 | Crest Point Consulting Group&amp;CPage &amp;P of &amp;N&amp;RStrictly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F27"/>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301</v>
      </c>
      <c r="D2" s="41"/>
      <c r="E2" s="41"/>
      <c r="F2" s="41"/>
    </row>
    <row r="3" spans="1:6" ht="30.75" customHeight="1" x14ac:dyDescent="0.55000000000000004">
      <c r="A3" s="39"/>
      <c r="B3" s="39"/>
      <c r="C3" s="42" t="s">
        <v>302</v>
      </c>
      <c r="D3" s="42"/>
      <c r="E3" s="42"/>
      <c r="F3" s="42"/>
    </row>
    <row r="5" spans="1:6" ht="18" customHeight="1" x14ac:dyDescent="0.55000000000000004">
      <c r="A5" s="36" t="s">
        <v>303</v>
      </c>
      <c r="B5" s="36"/>
      <c r="C5" s="36"/>
      <c r="D5" s="36"/>
      <c r="E5" s="36"/>
      <c r="F5" s="36"/>
    </row>
    <row r="6" spans="1:6" ht="19.5" customHeight="1" x14ac:dyDescent="0.55000000000000004">
      <c r="A6" s="28" t="s">
        <v>185</v>
      </c>
      <c r="B6" s="28"/>
      <c r="C6" s="11" t="s">
        <v>304</v>
      </c>
      <c r="D6" s="3" t="s">
        <v>305</v>
      </c>
      <c r="E6" s="43" t="s">
        <v>306</v>
      </c>
      <c r="F6" s="43"/>
    </row>
    <row r="7" spans="1:6" ht="19.5" customHeight="1" x14ac:dyDescent="0.55000000000000004">
      <c r="A7" s="28" t="s">
        <v>307</v>
      </c>
      <c r="B7" s="28"/>
      <c r="C7" s="12" t="s">
        <v>308</v>
      </c>
      <c r="D7" s="3" t="s">
        <v>93</v>
      </c>
      <c r="E7" s="33" t="s">
        <v>94</v>
      </c>
      <c r="F7" s="33"/>
    </row>
    <row r="8" spans="1:6" ht="43.5" customHeight="1" x14ac:dyDescent="0.55000000000000004">
      <c r="A8" s="28" t="s">
        <v>309</v>
      </c>
      <c r="B8" s="28"/>
      <c r="C8" s="11" t="s">
        <v>236</v>
      </c>
      <c r="D8" s="3" t="s">
        <v>310</v>
      </c>
      <c r="E8" s="33" t="s">
        <v>231</v>
      </c>
      <c r="F8" s="33"/>
    </row>
    <row r="9" spans="1:6" ht="31.5" customHeight="1" x14ac:dyDescent="0.55000000000000004">
      <c r="A9" s="28" t="s">
        <v>311</v>
      </c>
      <c r="B9" s="28"/>
      <c r="C9" s="13">
        <v>46309</v>
      </c>
      <c r="D9" s="3" t="s">
        <v>312</v>
      </c>
      <c r="E9" s="49">
        <v>60000</v>
      </c>
      <c r="F9" s="49"/>
    </row>
    <row r="11" spans="1:6" ht="18" customHeight="1" x14ac:dyDescent="0.55000000000000004">
      <c r="A11" s="36" t="s">
        <v>313</v>
      </c>
      <c r="B11" s="36"/>
      <c r="C11" s="36"/>
      <c r="D11" s="36"/>
      <c r="E11" s="36"/>
      <c r="F11" s="36"/>
    </row>
    <row r="12" spans="1:6" ht="43.5" customHeight="1" x14ac:dyDescent="0.55000000000000004">
      <c r="A12" s="28" t="s">
        <v>314</v>
      </c>
      <c r="B12" s="28"/>
      <c r="C12" s="19">
        <v>0.25</v>
      </c>
      <c r="D12" s="3" t="s">
        <v>315</v>
      </c>
      <c r="E12" s="50">
        <f>IF(C7="Land",0,C12)</f>
        <v>0.25</v>
      </c>
      <c r="F12" s="50"/>
    </row>
    <row r="13" spans="1:6" ht="31.5" customHeight="1" x14ac:dyDescent="0.55000000000000004">
      <c r="A13" s="28" t="s">
        <v>316</v>
      </c>
      <c r="B13" s="28"/>
      <c r="C13" s="20">
        <f>ROUND(E9*E12,2)</f>
        <v>15000</v>
      </c>
      <c r="D13" s="3" t="s">
        <v>317</v>
      </c>
      <c r="E13" s="48">
        <f>ROUND(C13/12,2)</f>
        <v>1250</v>
      </c>
      <c r="F13" s="48"/>
    </row>
    <row r="14" spans="1:6" ht="30.75" customHeight="1" x14ac:dyDescent="0.55000000000000004">
      <c r="A14" s="28" t="s">
        <v>318</v>
      </c>
      <c r="B14" s="28"/>
      <c r="C14" s="11" t="s">
        <v>319</v>
      </c>
      <c r="D14" s="3" t="s">
        <v>320</v>
      </c>
      <c r="E14" s="33" t="str">
        <f>IF(C7="Land","LOCKED at 0% (Land)","Editable")</f>
        <v>Editable</v>
      </c>
      <c r="F14" s="33"/>
    </row>
    <row r="15" spans="1:6" ht="31.5" customHeight="1" x14ac:dyDescent="0.55000000000000004">
      <c r="A15" s="28" t="s">
        <v>321</v>
      </c>
      <c r="B15" s="28"/>
      <c r="C15" s="33" t="s">
        <v>322</v>
      </c>
      <c r="D15" s="33"/>
      <c r="E15" s="33"/>
      <c r="F15" s="33"/>
    </row>
    <row r="17" spans="1:6" ht="30.75" customHeight="1" x14ac:dyDescent="0.55000000000000004">
      <c r="A17" s="34" t="s">
        <v>265</v>
      </c>
      <c r="B17" s="34"/>
      <c r="C17" s="34"/>
      <c r="D17" s="34" t="s">
        <v>171</v>
      </c>
      <c r="E17" s="34"/>
      <c r="F17" s="34"/>
    </row>
    <row r="18" spans="1:6" ht="19.5" customHeight="1" x14ac:dyDescent="0.55000000000000004">
      <c r="A18" s="27" t="s">
        <v>131</v>
      </c>
      <c r="B18" s="27"/>
      <c r="C18" s="27"/>
      <c r="D18" s="27" t="s">
        <v>131</v>
      </c>
      <c r="E18" s="27"/>
      <c r="F18" s="27"/>
    </row>
    <row r="19" spans="1:6" ht="19.5" customHeight="1" x14ac:dyDescent="0.55000000000000004">
      <c r="A19" s="27" t="s">
        <v>132</v>
      </c>
      <c r="B19" s="27"/>
      <c r="C19" s="27"/>
      <c r="D19" s="27" t="s">
        <v>132</v>
      </c>
      <c r="E19" s="27"/>
      <c r="F19" s="27"/>
    </row>
    <row r="20" spans="1:6" ht="43.5" customHeight="1" x14ac:dyDescent="0.55000000000000004">
      <c r="A20" s="32" t="s">
        <v>133</v>
      </c>
      <c r="B20" s="32"/>
      <c r="C20" s="32"/>
      <c r="D20" s="32" t="s">
        <v>133</v>
      </c>
      <c r="E20" s="32"/>
      <c r="F20" s="32"/>
    </row>
    <row r="21" spans="1:6" ht="19.5" customHeight="1" x14ac:dyDescent="0.55000000000000004">
      <c r="A21" s="27" t="s">
        <v>134</v>
      </c>
      <c r="B21" s="27"/>
      <c r="C21" s="27"/>
      <c r="D21" s="27" t="s">
        <v>134</v>
      </c>
      <c r="E21" s="27"/>
      <c r="F21" s="27"/>
    </row>
    <row r="23" spans="1:6" ht="18" customHeight="1" x14ac:dyDescent="0.55000000000000004">
      <c r="A23" s="28" t="s">
        <v>135</v>
      </c>
      <c r="B23" s="28"/>
      <c r="C23" s="28"/>
      <c r="D23" s="28"/>
      <c r="E23" s="28"/>
      <c r="F23" s="28"/>
    </row>
    <row r="24" spans="1:6" ht="30.75" customHeight="1" x14ac:dyDescent="0.55000000000000004">
      <c r="A24" s="26" t="s">
        <v>323</v>
      </c>
      <c r="B24" s="26"/>
      <c r="C24" s="26"/>
      <c r="D24" s="26"/>
      <c r="E24" s="26"/>
      <c r="F24" s="26"/>
    </row>
    <row r="25" spans="1:6" ht="30.75" customHeight="1" x14ac:dyDescent="0.55000000000000004">
      <c r="A25" s="26" t="s">
        <v>324</v>
      </c>
      <c r="B25" s="26"/>
      <c r="C25" s="26"/>
      <c r="D25" s="26"/>
      <c r="E25" s="26"/>
      <c r="F25" s="26"/>
    </row>
    <row r="26" spans="1:6" ht="30.75" customHeight="1" x14ac:dyDescent="0.55000000000000004">
      <c r="A26" s="26" t="s">
        <v>325</v>
      </c>
      <c r="B26" s="26"/>
      <c r="C26" s="26"/>
      <c r="D26" s="26"/>
      <c r="E26" s="26"/>
      <c r="F26" s="26"/>
    </row>
    <row r="27" spans="1:6" ht="27.75" customHeight="1" x14ac:dyDescent="0.55000000000000004">
      <c r="A27" s="26" t="s">
        <v>326</v>
      </c>
      <c r="B27" s="26"/>
      <c r="C27" s="26"/>
      <c r="D27" s="26"/>
      <c r="E27" s="26"/>
      <c r="F27" s="26"/>
    </row>
  </sheetData>
  <mergeCells count="37">
    <mergeCell ref="A1:B3"/>
    <mergeCell ref="C1:F1"/>
    <mergeCell ref="C2:F2"/>
    <mergeCell ref="C3:F3"/>
    <mergeCell ref="A5:F5"/>
    <mergeCell ref="A6:B6"/>
    <mergeCell ref="E6:F6"/>
    <mergeCell ref="A7:B7"/>
    <mergeCell ref="E7:F7"/>
    <mergeCell ref="A8:B8"/>
    <mergeCell ref="E8:F8"/>
    <mergeCell ref="A9:B9"/>
    <mergeCell ref="E9:F9"/>
    <mergeCell ref="A11:F11"/>
    <mergeCell ref="A12:B12"/>
    <mergeCell ref="E12:F12"/>
    <mergeCell ref="A13:B13"/>
    <mergeCell ref="E13:F13"/>
    <mergeCell ref="A14:B14"/>
    <mergeCell ref="E14:F14"/>
    <mergeCell ref="A15:B15"/>
    <mergeCell ref="C15:F15"/>
    <mergeCell ref="A17:C17"/>
    <mergeCell ref="D17:F17"/>
    <mergeCell ref="A18:C18"/>
    <mergeCell ref="D18:F18"/>
    <mergeCell ref="A19:C19"/>
    <mergeCell ref="D19:F19"/>
    <mergeCell ref="A24:F24"/>
    <mergeCell ref="A25:F25"/>
    <mergeCell ref="A26:F26"/>
    <mergeCell ref="A27:F27"/>
    <mergeCell ref="A20:C20"/>
    <mergeCell ref="D20:F20"/>
    <mergeCell ref="A21:C21"/>
    <mergeCell ref="D21:F21"/>
    <mergeCell ref="A23:F23"/>
  </mergeCells>
  <dataValidations count="1">
    <dataValidation type="list" allowBlank="1" sqref="C7" xr:uid="{00000000-0002-0000-0700-000000000000}">
      <formula1>"Motor Vehicles,Office Equipment,Machinery,Furniture,Buildings,Land,Other (defined by Finance Dept Head)"</formula1>
      <formula2>0</formula2>
    </dataValidation>
  </dataValidations>
  <pageMargins left="0.5" right="0.5" top="1" bottom="1" header="0.511811023622047" footer="0.5"/>
  <pageSetup paperSize="9" fitToHeight="0" orientation="portrait" horizontalDpi="300" verticalDpi="300"/>
  <headerFooter>
    <oddFooter>&amp;LIN-07 | Crest Point Consulting Group&amp;CPage &amp;P of &amp;N&amp;RStrictly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F23"/>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327</v>
      </c>
      <c r="D2" s="41"/>
      <c r="E2" s="41"/>
      <c r="F2" s="41"/>
    </row>
    <row r="3" spans="1:6" ht="21.75" customHeight="1" x14ac:dyDescent="0.55000000000000004">
      <c r="A3" s="39"/>
      <c r="B3" s="39"/>
      <c r="C3" s="42" t="s">
        <v>328</v>
      </c>
      <c r="D3" s="42"/>
      <c r="E3" s="42"/>
      <c r="F3" s="42"/>
    </row>
    <row r="5" spans="1:6" ht="18" customHeight="1" x14ac:dyDescent="0.55000000000000004">
      <c r="A5" s="36" t="s">
        <v>329</v>
      </c>
      <c r="B5" s="36"/>
      <c r="C5" s="36"/>
      <c r="D5" s="36"/>
      <c r="E5" s="36"/>
      <c r="F5" s="36"/>
    </row>
    <row r="6" spans="1:6" ht="19.5" customHeight="1" x14ac:dyDescent="0.55000000000000004">
      <c r="A6" s="28" t="s">
        <v>330</v>
      </c>
      <c r="B6" s="28"/>
      <c r="C6" s="11" t="s">
        <v>331</v>
      </c>
      <c r="D6" s="3" t="s">
        <v>332</v>
      </c>
      <c r="E6" s="38">
        <v>46309</v>
      </c>
      <c r="F6" s="38"/>
    </row>
    <row r="7" spans="1:6" ht="30.75" customHeight="1" x14ac:dyDescent="0.55000000000000004">
      <c r="A7" s="28" t="s">
        <v>307</v>
      </c>
      <c r="B7" s="28"/>
      <c r="C7" s="12" t="s">
        <v>308</v>
      </c>
      <c r="D7" s="3" t="s">
        <v>333</v>
      </c>
      <c r="E7" s="43"/>
      <c r="F7" s="43"/>
    </row>
    <row r="8" spans="1:6" ht="19.5" customHeight="1" x14ac:dyDescent="0.55000000000000004">
      <c r="A8" s="28" t="s">
        <v>334</v>
      </c>
      <c r="B8" s="28"/>
      <c r="C8" s="19">
        <v>0.25</v>
      </c>
      <c r="D8" s="3" t="s">
        <v>335</v>
      </c>
      <c r="E8" s="51">
        <v>0.2</v>
      </c>
      <c r="F8" s="51"/>
    </row>
    <row r="9" spans="1:6" ht="30.75" customHeight="1" x14ac:dyDescent="0.55000000000000004">
      <c r="A9" s="28" t="s">
        <v>336</v>
      </c>
      <c r="B9" s="28"/>
      <c r="C9" s="21">
        <f>ROUND((E8-C8)*100,2)</f>
        <v>-5</v>
      </c>
      <c r="D9" s="3" t="s">
        <v>337</v>
      </c>
      <c r="E9" s="38">
        <v>46327</v>
      </c>
      <c r="F9" s="38"/>
    </row>
    <row r="10" spans="1:6" ht="31.5" customHeight="1" x14ac:dyDescent="0.55000000000000004">
      <c r="A10" s="28" t="s">
        <v>338</v>
      </c>
      <c r="B10" s="28"/>
      <c r="C10" s="43" t="s">
        <v>339</v>
      </c>
      <c r="D10" s="43"/>
      <c r="E10" s="43"/>
      <c r="F10" s="43"/>
    </row>
    <row r="11" spans="1:6" ht="30.75" customHeight="1" x14ac:dyDescent="0.55000000000000004">
      <c r="A11" s="28" t="s">
        <v>340</v>
      </c>
      <c r="B11" s="28"/>
      <c r="C11" s="12" t="s">
        <v>286</v>
      </c>
      <c r="D11" s="3" t="s">
        <v>341</v>
      </c>
      <c r="E11" s="33" t="str">
        <f>IF(C11="Yes","Backdated correction posting required","None - Control Log entry only")</f>
        <v>None - Control Log entry only</v>
      </c>
      <c r="F11" s="33"/>
    </row>
    <row r="12" spans="1:6" ht="24" customHeight="1" x14ac:dyDescent="0.55000000000000004">
      <c r="A12" s="28" t="s">
        <v>342</v>
      </c>
      <c r="B12" s="28"/>
      <c r="C12" s="33" t="s">
        <v>343</v>
      </c>
      <c r="D12" s="33"/>
      <c r="E12" s="33"/>
      <c r="F12" s="33"/>
    </row>
    <row r="14" spans="1:6" ht="30.75" customHeight="1" x14ac:dyDescent="0.55000000000000004">
      <c r="A14" s="34" t="s">
        <v>344</v>
      </c>
      <c r="B14" s="34"/>
      <c r="C14" s="34"/>
      <c r="D14" s="34"/>
      <c r="E14" s="34"/>
      <c r="F14" s="34"/>
    </row>
    <row r="15" spans="1:6" ht="19.5" customHeight="1" x14ac:dyDescent="0.55000000000000004">
      <c r="A15" s="27" t="s">
        <v>131</v>
      </c>
      <c r="B15" s="27"/>
      <c r="C15" s="27"/>
      <c r="D15" s="27"/>
      <c r="E15" s="27"/>
      <c r="F15" s="27"/>
    </row>
    <row r="16" spans="1:6" ht="19.5" customHeight="1" x14ac:dyDescent="0.55000000000000004">
      <c r="A16" s="27" t="s">
        <v>132</v>
      </c>
      <c r="B16" s="27"/>
      <c r="C16" s="27"/>
      <c r="D16" s="27"/>
      <c r="E16" s="27"/>
      <c r="F16" s="27"/>
    </row>
    <row r="17" spans="1:6" ht="43.5" customHeight="1" x14ac:dyDescent="0.55000000000000004">
      <c r="A17" s="32" t="s">
        <v>133</v>
      </c>
      <c r="B17" s="32"/>
      <c r="C17" s="32"/>
      <c r="D17" s="32"/>
      <c r="E17" s="32"/>
      <c r="F17" s="32"/>
    </row>
    <row r="18" spans="1:6" ht="19.5" customHeight="1" x14ac:dyDescent="0.55000000000000004">
      <c r="A18" s="27" t="s">
        <v>134</v>
      </c>
      <c r="B18" s="27"/>
      <c r="C18" s="27"/>
      <c r="D18" s="27"/>
      <c r="E18" s="27"/>
      <c r="F18" s="27"/>
    </row>
    <row r="20" spans="1:6" ht="18" customHeight="1" x14ac:dyDescent="0.55000000000000004">
      <c r="A20" s="28" t="s">
        <v>135</v>
      </c>
      <c r="B20" s="28"/>
      <c r="C20" s="28"/>
      <c r="D20" s="28"/>
      <c r="E20" s="28"/>
      <c r="F20" s="28"/>
    </row>
    <row r="21" spans="1:6" ht="30.75" customHeight="1" x14ac:dyDescent="0.55000000000000004">
      <c r="A21" s="26" t="s">
        <v>345</v>
      </c>
      <c r="B21" s="26"/>
      <c r="C21" s="26"/>
      <c r="D21" s="26"/>
      <c r="E21" s="26"/>
      <c r="F21" s="26"/>
    </row>
    <row r="22" spans="1:6" ht="27.75" customHeight="1" x14ac:dyDescent="0.55000000000000004">
      <c r="A22" s="26" t="s">
        <v>346</v>
      </c>
      <c r="B22" s="26"/>
      <c r="C22" s="26"/>
      <c r="D22" s="26"/>
      <c r="E22" s="26"/>
      <c r="F22" s="26"/>
    </row>
    <row r="23" spans="1:6" ht="30.75" customHeight="1" x14ac:dyDescent="0.55000000000000004">
      <c r="A23" s="26" t="s">
        <v>200</v>
      </c>
      <c r="B23" s="26"/>
      <c r="C23" s="26"/>
      <c r="D23" s="26"/>
      <c r="E23" s="26"/>
      <c r="F23" s="26"/>
    </row>
  </sheetData>
  <mergeCells count="28">
    <mergeCell ref="A1:B3"/>
    <mergeCell ref="C1:F1"/>
    <mergeCell ref="C2:F2"/>
    <mergeCell ref="C3:F3"/>
    <mergeCell ref="A5:F5"/>
    <mergeCell ref="A6:B6"/>
    <mergeCell ref="E6:F6"/>
    <mergeCell ref="A7:B7"/>
    <mergeCell ref="E7:F7"/>
    <mergeCell ref="A8:B8"/>
    <mergeCell ref="E8:F8"/>
    <mergeCell ref="A9:B9"/>
    <mergeCell ref="E9:F9"/>
    <mergeCell ref="A10:B10"/>
    <mergeCell ref="C10:F10"/>
    <mergeCell ref="A11:B11"/>
    <mergeCell ref="E11:F11"/>
    <mergeCell ref="A12:B12"/>
    <mergeCell ref="C12:F12"/>
    <mergeCell ref="A14:F14"/>
    <mergeCell ref="A15:F15"/>
    <mergeCell ref="A16:F16"/>
    <mergeCell ref="A23:F23"/>
    <mergeCell ref="A17:F17"/>
    <mergeCell ref="A18:F18"/>
    <mergeCell ref="A20:F20"/>
    <mergeCell ref="A21:F21"/>
    <mergeCell ref="A22:F22"/>
  </mergeCells>
  <dataValidations count="2">
    <dataValidation type="list" allowBlank="1" sqref="C7" xr:uid="{00000000-0002-0000-0800-000000000000}">
      <formula1>"Motor Vehicles,Office Equipment,Machinery,Furniture,Buildings,Other (defined by Finance Dept Head)"</formula1>
      <formula2>0</formula2>
    </dataValidation>
    <dataValidation type="list" allowBlank="1" sqref="C11" xr:uid="{00000000-0002-0000-0800-000001000000}">
      <formula1>"Yes,No"</formula1>
      <formula2>0</formula2>
    </dataValidation>
  </dataValidations>
  <pageMargins left="0.5" right="0.5" top="1" bottom="1" header="0.511811023622047" footer="0.5"/>
  <pageSetup paperSize="9" fitToHeight="0" orientation="portrait" horizontalDpi="300" verticalDpi="300"/>
  <headerFooter>
    <oddFooter>&amp;LIN-08 | Crest Point Consulting Group&amp;CPage &amp;P of &amp;N&amp;RStrictly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A1:H32"/>
  <sheetViews>
    <sheetView showGridLines="0" zoomScaleNormal="100" workbookViewId="0"/>
  </sheetViews>
  <sheetFormatPr defaultColWidth="8.68359375" defaultRowHeight="14.4" x14ac:dyDescent="0.55000000000000004"/>
  <cols>
    <col min="1" max="1" width="6" customWidth="1"/>
    <col min="2" max="2" width="14" customWidth="1"/>
    <col min="3" max="3" width="28" customWidth="1"/>
    <col min="4" max="4" width="9" customWidth="1"/>
    <col min="5" max="5" width="28" customWidth="1"/>
    <col min="6" max="6" width="16" customWidth="1"/>
    <col min="7" max="7" width="18" customWidth="1"/>
    <col min="8" max="8" width="16" customWidth="1"/>
  </cols>
  <sheetData>
    <row r="1" spans="1:8" ht="43.5" customHeight="1" x14ac:dyDescent="0.55000000000000004">
      <c r="A1" s="39" t="s">
        <v>84</v>
      </c>
      <c r="B1" s="39"/>
      <c r="C1" s="40" t="s">
        <v>0</v>
      </c>
      <c r="D1" s="40"/>
      <c r="E1" s="40"/>
      <c r="F1" s="40"/>
      <c r="G1" s="40"/>
      <c r="H1" s="40"/>
    </row>
    <row r="2" spans="1:8" ht="21.75" customHeight="1" x14ac:dyDescent="0.55000000000000004">
      <c r="A2" s="39"/>
      <c r="B2" s="39"/>
      <c r="C2" s="41" t="s">
        <v>347</v>
      </c>
      <c r="D2" s="41"/>
      <c r="E2" s="41"/>
      <c r="F2" s="41"/>
      <c r="G2" s="41"/>
      <c r="H2" s="41"/>
    </row>
    <row r="3" spans="1:8" ht="21.75" customHeight="1" x14ac:dyDescent="0.55000000000000004">
      <c r="A3" s="39"/>
      <c r="B3" s="39"/>
      <c r="C3" s="42" t="s">
        <v>348</v>
      </c>
      <c r="D3" s="42"/>
      <c r="E3" s="42"/>
      <c r="F3" s="42"/>
      <c r="G3" s="42"/>
      <c r="H3" s="42"/>
    </row>
    <row r="5" spans="1:8" ht="18" customHeight="1" x14ac:dyDescent="0.55000000000000004">
      <c r="A5" s="36" t="s">
        <v>349</v>
      </c>
      <c r="B5" s="36"/>
      <c r="C5" s="36"/>
      <c r="D5" s="36"/>
      <c r="E5" s="36"/>
      <c r="F5" s="36"/>
      <c r="G5" s="36"/>
      <c r="H5" s="36"/>
    </row>
    <row r="6" spans="1:8" ht="19.5" customHeight="1" x14ac:dyDescent="0.55000000000000004">
      <c r="A6" s="28" t="s">
        <v>350</v>
      </c>
      <c r="B6" s="28"/>
      <c r="C6" s="11" t="s">
        <v>351</v>
      </c>
      <c r="D6" s="28" t="s">
        <v>352</v>
      </c>
      <c r="E6" s="28"/>
      <c r="F6" s="38">
        <v>46309</v>
      </c>
      <c r="G6" s="38"/>
      <c r="H6" s="38"/>
    </row>
    <row r="7" spans="1:8" ht="19.5" customHeight="1" x14ac:dyDescent="0.55000000000000004">
      <c r="A7" s="28" t="s">
        <v>93</v>
      </c>
      <c r="B7" s="28"/>
      <c r="C7" s="11" t="s">
        <v>94</v>
      </c>
      <c r="D7" s="28" t="s">
        <v>353</v>
      </c>
      <c r="E7" s="28"/>
      <c r="F7" s="33" t="s">
        <v>150</v>
      </c>
      <c r="G7" s="33"/>
      <c r="H7" s="33"/>
    </row>
    <row r="8" spans="1:8" ht="19.5" customHeight="1" x14ac:dyDescent="0.55000000000000004">
      <c r="A8" s="28" t="s">
        <v>354</v>
      </c>
      <c r="B8" s="28"/>
      <c r="C8" s="12" t="s">
        <v>355</v>
      </c>
      <c r="D8" s="28" t="s">
        <v>168</v>
      </c>
      <c r="E8" s="28"/>
      <c r="F8" s="33" t="s">
        <v>356</v>
      </c>
      <c r="G8" s="33"/>
      <c r="H8" s="33"/>
    </row>
    <row r="10" spans="1:8" ht="49.5" customHeight="1" x14ac:dyDescent="0.55000000000000004">
      <c r="A10" s="8" t="s">
        <v>99</v>
      </c>
      <c r="B10" s="8" t="s">
        <v>100</v>
      </c>
      <c r="C10" s="8" t="s">
        <v>101</v>
      </c>
      <c r="D10" s="8" t="s">
        <v>357</v>
      </c>
      <c r="E10" s="8" t="s">
        <v>358</v>
      </c>
      <c r="F10" s="8" t="s">
        <v>359</v>
      </c>
      <c r="G10" s="8" t="s">
        <v>360</v>
      </c>
      <c r="H10" s="8" t="s">
        <v>361</v>
      </c>
    </row>
    <row r="11" spans="1:8" ht="30.75" customHeight="1" x14ac:dyDescent="0.55000000000000004">
      <c r="A11" s="9">
        <v>1</v>
      </c>
      <c r="B11" s="12" t="s">
        <v>254</v>
      </c>
      <c r="C11" s="12" t="s">
        <v>362</v>
      </c>
      <c r="D11" s="12">
        <v>4</v>
      </c>
      <c r="E11" s="12" t="s">
        <v>363</v>
      </c>
      <c r="F11" s="16">
        <v>48000</v>
      </c>
      <c r="G11" s="16">
        <v>20000</v>
      </c>
      <c r="H11" s="20">
        <f>IF(F11="","",F11-N(G11))</f>
        <v>28000</v>
      </c>
    </row>
    <row r="12" spans="1:8" ht="30" customHeight="1" x14ac:dyDescent="0.55000000000000004">
      <c r="A12" s="9">
        <v>2</v>
      </c>
      <c r="B12" s="2"/>
      <c r="C12" s="2"/>
      <c r="D12" s="2"/>
      <c r="E12" s="2"/>
      <c r="F12" s="17"/>
      <c r="G12" s="17"/>
      <c r="H12" s="20" t="str">
        <f>IF(F12="","",F12-N(G12))</f>
        <v/>
      </c>
    </row>
    <row r="13" spans="1:8" ht="30" customHeight="1" x14ac:dyDescent="0.55000000000000004">
      <c r="A13" s="9">
        <v>3</v>
      </c>
      <c r="B13" s="2"/>
      <c r="C13" s="2"/>
      <c r="D13" s="2"/>
      <c r="E13" s="2"/>
      <c r="F13" s="17"/>
      <c r="G13" s="17"/>
      <c r="H13" s="20" t="str">
        <f>IF(F13="","",F13-N(G13))</f>
        <v/>
      </c>
    </row>
    <row r="14" spans="1:8" ht="30" customHeight="1" x14ac:dyDescent="0.55000000000000004">
      <c r="A14" s="9">
        <v>4</v>
      </c>
      <c r="B14" s="2"/>
      <c r="C14" s="2"/>
      <c r="D14" s="2"/>
      <c r="E14" s="2"/>
      <c r="F14" s="17"/>
      <c r="G14" s="17"/>
      <c r="H14" s="20" t="str">
        <f>IF(F14="","",F14-N(G14))</f>
        <v/>
      </c>
    </row>
    <row r="15" spans="1:8" ht="30" customHeight="1" x14ac:dyDescent="0.55000000000000004">
      <c r="A15" s="9">
        <v>5</v>
      </c>
      <c r="B15" s="2"/>
      <c r="C15" s="2"/>
      <c r="D15" s="2"/>
      <c r="E15" s="2"/>
      <c r="F15" s="17"/>
      <c r="G15" s="17"/>
      <c r="H15" s="20" t="str">
        <f>IF(F15="","",F15-N(G15))</f>
        <v/>
      </c>
    </row>
    <row r="16" spans="1:8" ht="18" customHeight="1" x14ac:dyDescent="0.55000000000000004">
      <c r="A16" s="44" t="s">
        <v>364</v>
      </c>
      <c r="B16" s="44"/>
      <c r="C16" s="44"/>
      <c r="D16" s="44"/>
      <c r="E16" s="44"/>
      <c r="F16" s="44"/>
      <c r="G16" s="44"/>
      <c r="H16" s="18">
        <f>SUM(H11:H15)</f>
        <v>28000</v>
      </c>
    </row>
    <row r="18" spans="1:8" ht="18" customHeight="1" x14ac:dyDescent="0.55000000000000004">
      <c r="A18" s="36" t="s">
        <v>365</v>
      </c>
      <c r="B18" s="36"/>
      <c r="C18" s="36"/>
      <c r="D18" s="36"/>
      <c r="E18" s="36"/>
      <c r="F18" s="36"/>
      <c r="G18" s="36"/>
      <c r="H18" s="36"/>
    </row>
    <row r="19" spans="1:8" ht="18" customHeight="1" x14ac:dyDescent="0.55000000000000004">
      <c r="A19" s="28" t="s">
        <v>366</v>
      </c>
      <c r="B19" s="28"/>
      <c r="C19" s="28"/>
      <c r="D19" s="45" t="str">
        <f>IF(C8="Write-off (loss / wastage)","Dr Loss on Inventory Account / Cr Inventory Account",IF(C8="Write-down to NRV","Dr Loss on Write-Down Account / Cr Inventory Account",""))</f>
        <v>Dr Loss on Write-Down Account / Cr Inventory Account</v>
      </c>
      <c r="E19" s="45"/>
      <c r="F19" s="45"/>
      <c r="G19" s="45"/>
      <c r="H19" s="45"/>
    </row>
    <row r="20" spans="1:8" ht="18" customHeight="1" x14ac:dyDescent="0.55000000000000004">
      <c r="A20" s="28" t="s">
        <v>367</v>
      </c>
      <c r="B20" s="28"/>
      <c r="C20" s="28"/>
      <c r="D20" s="43" t="s">
        <v>114</v>
      </c>
      <c r="E20" s="43"/>
      <c r="F20" s="28" t="s">
        <v>115</v>
      </c>
      <c r="G20" s="28"/>
      <c r="H20" s="13">
        <v>46309</v>
      </c>
    </row>
    <row r="22" spans="1:8" ht="30.75" customHeight="1" x14ac:dyDescent="0.55000000000000004">
      <c r="A22" s="34" t="s">
        <v>265</v>
      </c>
      <c r="B22" s="34"/>
      <c r="C22" s="34"/>
      <c r="D22" s="34"/>
      <c r="E22" s="34" t="s">
        <v>368</v>
      </c>
      <c r="F22" s="34"/>
      <c r="G22" s="34"/>
      <c r="H22" s="34"/>
    </row>
    <row r="23" spans="1:8" ht="19.5" customHeight="1" x14ac:dyDescent="0.55000000000000004">
      <c r="A23" s="27" t="s">
        <v>131</v>
      </c>
      <c r="B23" s="27"/>
      <c r="C23" s="27"/>
      <c r="D23" s="27"/>
      <c r="E23" s="27" t="s">
        <v>131</v>
      </c>
      <c r="F23" s="27"/>
      <c r="G23" s="27"/>
      <c r="H23" s="27"/>
    </row>
    <row r="24" spans="1:8" ht="19.5" customHeight="1" x14ac:dyDescent="0.55000000000000004">
      <c r="A24" s="27" t="s">
        <v>132</v>
      </c>
      <c r="B24" s="27"/>
      <c r="C24" s="27"/>
      <c r="D24" s="27"/>
      <c r="E24" s="27" t="s">
        <v>132</v>
      </c>
      <c r="F24" s="27"/>
      <c r="G24" s="27"/>
      <c r="H24" s="27"/>
    </row>
    <row r="25" spans="1:8" ht="43.5" customHeight="1" x14ac:dyDescent="0.55000000000000004">
      <c r="A25" s="32" t="s">
        <v>133</v>
      </c>
      <c r="B25" s="32"/>
      <c r="C25" s="32"/>
      <c r="D25" s="32"/>
      <c r="E25" s="32" t="s">
        <v>133</v>
      </c>
      <c r="F25" s="32"/>
      <c r="G25" s="32"/>
      <c r="H25" s="32"/>
    </row>
    <row r="26" spans="1:8" ht="19.5" customHeight="1" x14ac:dyDescent="0.55000000000000004">
      <c r="A26" s="27" t="s">
        <v>134</v>
      </c>
      <c r="B26" s="27"/>
      <c r="C26" s="27"/>
      <c r="D26" s="27"/>
      <c r="E26" s="27" t="s">
        <v>134</v>
      </c>
      <c r="F26" s="27"/>
      <c r="G26" s="27"/>
      <c r="H26" s="27"/>
    </row>
    <row r="28" spans="1:8" ht="18" customHeight="1" x14ac:dyDescent="0.55000000000000004">
      <c r="A28" s="28" t="s">
        <v>135</v>
      </c>
      <c r="B28" s="28"/>
      <c r="C28" s="28"/>
      <c r="D28" s="28"/>
      <c r="E28" s="28"/>
      <c r="F28" s="28"/>
      <c r="G28" s="28"/>
      <c r="H28" s="28"/>
    </row>
    <row r="29" spans="1:8" ht="30.75" customHeight="1" x14ac:dyDescent="0.55000000000000004">
      <c r="A29" s="26" t="s">
        <v>369</v>
      </c>
      <c r="B29" s="26"/>
      <c r="C29" s="26"/>
      <c r="D29" s="26"/>
      <c r="E29" s="26"/>
      <c r="F29" s="26"/>
      <c r="G29" s="26"/>
      <c r="H29" s="26"/>
    </row>
    <row r="30" spans="1:8" ht="30.75" customHeight="1" x14ac:dyDescent="0.55000000000000004">
      <c r="A30" s="26" t="s">
        <v>370</v>
      </c>
      <c r="B30" s="26"/>
      <c r="C30" s="26"/>
      <c r="D30" s="26"/>
      <c r="E30" s="26"/>
      <c r="F30" s="26"/>
      <c r="G30" s="26"/>
      <c r="H30" s="26"/>
    </row>
    <row r="31" spans="1:8" ht="30.75" customHeight="1" x14ac:dyDescent="0.55000000000000004">
      <c r="A31" s="26" t="s">
        <v>371</v>
      </c>
      <c r="B31" s="26"/>
      <c r="C31" s="26"/>
      <c r="D31" s="26"/>
      <c r="E31" s="26"/>
      <c r="F31" s="26"/>
      <c r="G31" s="26"/>
      <c r="H31" s="26"/>
    </row>
    <row r="32" spans="1:8" ht="43.5" customHeight="1" x14ac:dyDescent="0.55000000000000004">
      <c r="A32" s="26" t="s">
        <v>225</v>
      </c>
      <c r="B32" s="26"/>
      <c r="C32" s="26"/>
      <c r="D32" s="26"/>
      <c r="E32" s="26"/>
      <c r="F32" s="26"/>
      <c r="G32" s="26"/>
      <c r="H32" s="26"/>
    </row>
  </sheetData>
  <mergeCells count="36">
    <mergeCell ref="A1:B3"/>
    <mergeCell ref="C1:H1"/>
    <mergeCell ref="C2:H2"/>
    <mergeCell ref="C3:H3"/>
    <mergeCell ref="A5:H5"/>
    <mergeCell ref="A6:B6"/>
    <mergeCell ref="D6:E6"/>
    <mergeCell ref="F6:H6"/>
    <mergeCell ref="A7:B7"/>
    <mergeCell ref="D7:E7"/>
    <mergeCell ref="F7:H7"/>
    <mergeCell ref="A8:B8"/>
    <mergeCell ref="D8:E8"/>
    <mergeCell ref="F8:H8"/>
    <mergeCell ref="A16:G16"/>
    <mergeCell ref="A18:H18"/>
    <mergeCell ref="A19:C19"/>
    <mergeCell ref="D19:H19"/>
    <mergeCell ref="A20:C20"/>
    <mergeCell ref="D20:E20"/>
    <mergeCell ref="F20:G20"/>
    <mergeCell ref="A22:D22"/>
    <mergeCell ref="E22:H22"/>
    <mergeCell ref="A23:D23"/>
    <mergeCell ref="E23:H23"/>
    <mergeCell ref="A24:D24"/>
    <mergeCell ref="E24:H24"/>
    <mergeCell ref="A29:H29"/>
    <mergeCell ref="A30:H30"/>
    <mergeCell ref="A31:H31"/>
    <mergeCell ref="A32:H32"/>
    <mergeCell ref="A25:D25"/>
    <mergeCell ref="E25:H25"/>
    <mergeCell ref="A26:D26"/>
    <mergeCell ref="E26:H26"/>
    <mergeCell ref="A28:H28"/>
  </mergeCells>
  <dataValidations count="2">
    <dataValidation type="list" allowBlank="1" sqref="C8" xr:uid="{00000000-0002-0000-0900-000000000000}">
      <formula1>"Write-off (loss / wastage),Write-down to NRV"</formula1>
      <formula2>0</formula2>
    </dataValidation>
    <dataValidation type="list" allowBlank="1" sqref="D20" xr:uid="{00000000-0002-0000-0900-000001000000}">
      <formula1>"Approved,Rejected"</formula1>
      <formula2>0</formula2>
    </dataValidation>
  </dataValidations>
  <pageMargins left="0.5" right="0.5" top="1" bottom="1" header="0.511811023622047" footer="0.5"/>
  <pageSetup paperSize="9" fitToHeight="0" orientation="landscape" horizontalDpi="300" verticalDpi="300"/>
  <headerFooter>
    <oddFooter>&amp;LIN-09 | Crest Point Consulting Group&amp;CPage &amp;P of &amp;N&amp;RStrictly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pageSetUpPr fitToPage="1"/>
  </sheetPr>
  <dimension ref="A1:I28"/>
  <sheetViews>
    <sheetView showGridLines="0" zoomScaleNormal="100" workbookViewId="0">
      <pane ySplit="6" topLeftCell="A7" activePane="bottomLeft" state="frozen"/>
      <selection pane="bottomLeft"/>
    </sheetView>
  </sheetViews>
  <sheetFormatPr defaultColWidth="8.68359375" defaultRowHeight="14.4" x14ac:dyDescent="0.55000000000000004"/>
  <cols>
    <col min="1" max="1" width="12" customWidth="1"/>
    <col min="2" max="2" width="34" customWidth="1"/>
    <col min="3" max="3" width="20" customWidth="1"/>
    <col min="4" max="4" width="18" customWidth="1"/>
    <col min="5" max="5" width="14" customWidth="1"/>
    <col min="6" max="6" width="18" customWidth="1"/>
    <col min="7" max="7" width="24" customWidth="1"/>
    <col min="8" max="8" width="10" customWidth="1"/>
    <col min="9" max="9" width="30" customWidth="1"/>
  </cols>
  <sheetData>
    <row r="1" spans="1:9" ht="30.75" customHeight="1" x14ac:dyDescent="0.55000000000000004">
      <c r="A1" s="39" t="s">
        <v>84</v>
      </c>
      <c r="B1" s="39"/>
      <c r="C1" s="40" t="s">
        <v>0</v>
      </c>
      <c r="D1" s="40"/>
      <c r="E1" s="40"/>
      <c r="F1" s="40"/>
      <c r="G1" s="40"/>
      <c r="H1" s="40"/>
      <c r="I1" s="40"/>
    </row>
    <row r="2" spans="1:9" ht="21.75" customHeight="1" x14ac:dyDescent="0.55000000000000004">
      <c r="A2" s="39"/>
      <c r="B2" s="39"/>
      <c r="C2" s="41" t="s">
        <v>372</v>
      </c>
      <c r="D2" s="41"/>
      <c r="E2" s="41"/>
      <c r="F2" s="41"/>
      <c r="G2" s="41"/>
      <c r="H2" s="41"/>
      <c r="I2" s="41"/>
    </row>
    <row r="3" spans="1:9" ht="21.75" customHeight="1" x14ac:dyDescent="0.55000000000000004">
      <c r="A3" s="39"/>
      <c r="B3" s="39"/>
      <c r="C3" s="42" t="s">
        <v>373</v>
      </c>
      <c r="D3" s="42"/>
      <c r="E3" s="42"/>
      <c r="F3" s="42"/>
      <c r="G3" s="42"/>
      <c r="H3" s="42"/>
      <c r="I3" s="42"/>
    </row>
    <row r="5" spans="1:9" ht="30.75" customHeight="1" x14ac:dyDescent="0.55000000000000004">
      <c r="A5" s="52" t="s">
        <v>374</v>
      </c>
      <c r="B5" s="52"/>
      <c r="C5" s="52"/>
      <c r="D5" s="52"/>
      <c r="E5" s="52"/>
      <c r="F5" s="52"/>
      <c r="G5" s="52"/>
      <c r="H5" s="52"/>
      <c r="I5" s="52"/>
    </row>
    <row r="6" spans="1:9" ht="43.5" customHeight="1" x14ac:dyDescent="0.55000000000000004">
      <c r="A6" s="8" t="s">
        <v>100</v>
      </c>
      <c r="B6" s="8" t="s">
        <v>101</v>
      </c>
      <c r="C6" s="8" t="s">
        <v>375</v>
      </c>
      <c r="D6" s="8" t="s">
        <v>152</v>
      </c>
      <c r="E6" s="8" t="s">
        <v>103</v>
      </c>
      <c r="F6" s="8" t="s">
        <v>376</v>
      </c>
      <c r="G6" s="8" t="s">
        <v>377</v>
      </c>
      <c r="H6" s="8" t="s">
        <v>168</v>
      </c>
      <c r="I6" s="8" t="s">
        <v>378</v>
      </c>
    </row>
    <row r="7" spans="1:9" ht="30.75" customHeight="1" x14ac:dyDescent="0.55000000000000004">
      <c r="A7" s="12" t="s">
        <v>104</v>
      </c>
      <c r="B7" s="12" t="s">
        <v>105</v>
      </c>
      <c r="C7" s="12" t="s">
        <v>379</v>
      </c>
      <c r="D7" s="12" t="s">
        <v>154</v>
      </c>
      <c r="E7" s="12" t="s">
        <v>107</v>
      </c>
      <c r="F7" s="12">
        <v>20</v>
      </c>
      <c r="G7" s="12" t="s">
        <v>380</v>
      </c>
      <c r="H7" s="12" t="s">
        <v>381</v>
      </c>
      <c r="I7" s="11" t="str">
        <f t="shared" ref="I7:I24" si="0">IF(A7="","",IF(AND(D7="Consumable",G7=""),"ERROR: expense account required",IF(F7="","ERROR: minimum threshold required","OK")))</f>
        <v>OK</v>
      </c>
    </row>
    <row r="8" spans="1:9" ht="30.75" customHeight="1" x14ac:dyDescent="0.55000000000000004">
      <c r="A8" s="12" t="s">
        <v>108</v>
      </c>
      <c r="B8" s="12" t="s">
        <v>109</v>
      </c>
      <c r="C8" s="12" t="s">
        <v>379</v>
      </c>
      <c r="D8" s="12" t="s">
        <v>154</v>
      </c>
      <c r="E8" s="12" t="s">
        <v>111</v>
      </c>
      <c r="F8" s="12">
        <v>4</v>
      </c>
      <c r="G8" s="12" t="s">
        <v>380</v>
      </c>
      <c r="H8" s="12" t="s">
        <v>381</v>
      </c>
      <c r="I8" s="11" t="str">
        <f t="shared" si="0"/>
        <v>OK</v>
      </c>
    </row>
    <row r="9" spans="1:9" ht="19.5" customHeight="1" x14ac:dyDescent="0.55000000000000004">
      <c r="A9" s="12" t="s">
        <v>382</v>
      </c>
      <c r="B9" s="12" t="s">
        <v>383</v>
      </c>
      <c r="C9" s="12" t="s">
        <v>384</v>
      </c>
      <c r="D9" s="12" t="s">
        <v>154</v>
      </c>
      <c r="E9" s="12" t="s">
        <v>385</v>
      </c>
      <c r="F9" s="12">
        <v>2000</v>
      </c>
      <c r="G9" s="12" t="s">
        <v>386</v>
      </c>
      <c r="H9" s="12" t="s">
        <v>381</v>
      </c>
      <c r="I9" s="11" t="str">
        <f t="shared" si="0"/>
        <v>OK</v>
      </c>
    </row>
    <row r="10" spans="1:9" ht="19.5" customHeight="1" x14ac:dyDescent="0.55000000000000004">
      <c r="A10" s="12" t="s">
        <v>387</v>
      </c>
      <c r="B10" s="12" t="s">
        <v>388</v>
      </c>
      <c r="C10" s="12" t="s">
        <v>384</v>
      </c>
      <c r="D10" s="12" t="s">
        <v>154</v>
      </c>
      <c r="E10" s="12" t="s">
        <v>385</v>
      </c>
      <c r="F10" s="12">
        <v>1000</v>
      </c>
      <c r="G10" s="12" t="s">
        <v>386</v>
      </c>
      <c r="H10" s="12" t="s">
        <v>381</v>
      </c>
      <c r="I10" s="11" t="str">
        <f t="shared" si="0"/>
        <v>OK</v>
      </c>
    </row>
    <row r="11" spans="1:9" ht="30.75" customHeight="1" x14ac:dyDescent="0.55000000000000004">
      <c r="A11" s="12" t="s">
        <v>389</v>
      </c>
      <c r="B11" s="12" t="s">
        <v>390</v>
      </c>
      <c r="C11" s="12" t="s">
        <v>391</v>
      </c>
      <c r="D11" s="12" t="s">
        <v>154</v>
      </c>
      <c r="E11" s="12" t="s">
        <v>111</v>
      </c>
      <c r="F11" s="12">
        <v>3</v>
      </c>
      <c r="G11" s="12" t="s">
        <v>392</v>
      </c>
      <c r="H11" s="12" t="s">
        <v>381</v>
      </c>
      <c r="I11" s="11" t="str">
        <f t="shared" si="0"/>
        <v>OK</v>
      </c>
    </row>
    <row r="12" spans="1:9" ht="19.5" customHeight="1" x14ac:dyDescent="0.55000000000000004">
      <c r="A12" s="12" t="s">
        <v>155</v>
      </c>
      <c r="B12" s="12" t="s">
        <v>156</v>
      </c>
      <c r="C12" s="12" t="s">
        <v>393</v>
      </c>
      <c r="D12" s="12" t="s">
        <v>157</v>
      </c>
      <c r="E12" s="12" t="s">
        <v>111</v>
      </c>
      <c r="F12" s="12">
        <v>2</v>
      </c>
      <c r="G12" s="12"/>
      <c r="H12" s="12" t="s">
        <v>381</v>
      </c>
      <c r="I12" s="11" t="str">
        <f t="shared" si="0"/>
        <v>OK</v>
      </c>
    </row>
    <row r="13" spans="1:9" ht="19.5" customHeight="1" x14ac:dyDescent="0.55000000000000004">
      <c r="A13" s="12" t="s">
        <v>394</v>
      </c>
      <c r="B13" s="12" t="s">
        <v>395</v>
      </c>
      <c r="C13" s="12" t="s">
        <v>396</v>
      </c>
      <c r="D13" s="12" t="s">
        <v>157</v>
      </c>
      <c r="E13" s="12" t="s">
        <v>111</v>
      </c>
      <c r="F13" s="12">
        <v>2</v>
      </c>
      <c r="G13" s="12"/>
      <c r="H13" s="12" t="s">
        <v>381</v>
      </c>
      <c r="I13" s="11" t="str">
        <f t="shared" si="0"/>
        <v>OK</v>
      </c>
    </row>
    <row r="14" spans="1:9" ht="19.5" customHeight="1" x14ac:dyDescent="0.55000000000000004">
      <c r="A14" s="12" t="s">
        <v>397</v>
      </c>
      <c r="B14" s="12" t="s">
        <v>398</v>
      </c>
      <c r="C14" s="12" t="s">
        <v>399</v>
      </c>
      <c r="D14" s="12" t="s">
        <v>157</v>
      </c>
      <c r="E14" s="12" t="s">
        <v>400</v>
      </c>
      <c r="F14" s="12">
        <v>2</v>
      </c>
      <c r="G14" s="12"/>
      <c r="H14" s="12" t="s">
        <v>381</v>
      </c>
      <c r="I14" s="11" t="str">
        <f t="shared" si="0"/>
        <v>OK</v>
      </c>
    </row>
    <row r="15" spans="1:9" ht="19.5" customHeight="1" x14ac:dyDescent="0.55000000000000004">
      <c r="A15" s="2"/>
      <c r="B15" s="2"/>
      <c r="C15" s="2"/>
      <c r="D15" s="2"/>
      <c r="E15" s="2"/>
      <c r="F15" s="2"/>
      <c r="G15" s="2"/>
      <c r="H15" s="2"/>
      <c r="I15" s="11" t="str">
        <f t="shared" si="0"/>
        <v/>
      </c>
    </row>
    <row r="16" spans="1:9" ht="19.5" customHeight="1" x14ac:dyDescent="0.55000000000000004">
      <c r="A16" s="2"/>
      <c r="B16" s="2"/>
      <c r="C16" s="2"/>
      <c r="D16" s="2"/>
      <c r="E16" s="2"/>
      <c r="F16" s="2"/>
      <c r="G16" s="2"/>
      <c r="H16" s="2"/>
      <c r="I16" s="11" t="str">
        <f t="shared" si="0"/>
        <v/>
      </c>
    </row>
    <row r="17" spans="1:9" ht="19.5" customHeight="1" x14ac:dyDescent="0.55000000000000004">
      <c r="A17" s="2"/>
      <c r="B17" s="2"/>
      <c r="C17" s="2"/>
      <c r="D17" s="2"/>
      <c r="E17" s="2"/>
      <c r="F17" s="2"/>
      <c r="G17" s="2"/>
      <c r="H17" s="2"/>
      <c r="I17" s="11" t="str">
        <f t="shared" si="0"/>
        <v/>
      </c>
    </row>
    <row r="18" spans="1:9" ht="19.5" customHeight="1" x14ac:dyDescent="0.55000000000000004">
      <c r="A18" s="2"/>
      <c r="B18" s="2"/>
      <c r="C18" s="2"/>
      <c r="D18" s="2"/>
      <c r="E18" s="2"/>
      <c r="F18" s="2"/>
      <c r="G18" s="2"/>
      <c r="H18" s="2"/>
      <c r="I18" s="11" t="str">
        <f t="shared" si="0"/>
        <v/>
      </c>
    </row>
    <row r="19" spans="1:9" ht="19.5" customHeight="1" x14ac:dyDescent="0.55000000000000004">
      <c r="A19" s="2"/>
      <c r="B19" s="2"/>
      <c r="C19" s="2"/>
      <c r="D19" s="2"/>
      <c r="E19" s="2"/>
      <c r="F19" s="2"/>
      <c r="G19" s="2"/>
      <c r="H19" s="2"/>
      <c r="I19" s="11" t="str">
        <f t="shared" si="0"/>
        <v/>
      </c>
    </row>
    <row r="20" spans="1:9" ht="19.5" customHeight="1" x14ac:dyDescent="0.55000000000000004">
      <c r="A20" s="2"/>
      <c r="B20" s="2"/>
      <c r="C20" s="2"/>
      <c r="D20" s="2"/>
      <c r="E20" s="2"/>
      <c r="F20" s="2"/>
      <c r="G20" s="2"/>
      <c r="H20" s="2"/>
      <c r="I20" s="11" t="str">
        <f t="shared" si="0"/>
        <v/>
      </c>
    </row>
    <row r="21" spans="1:9" ht="19.5" customHeight="1" x14ac:dyDescent="0.55000000000000004">
      <c r="A21" s="2"/>
      <c r="B21" s="2"/>
      <c r="C21" s="2"/>
      <c r="D21" s="2"/>
      <c r="E21" s="2"/>
      <c r="F21" s="2"/>
      <c r="G21" s="2"/>
      <c r="H21" s="2"/>
      <c r="I21" s="11" t="str">
        <f t="shared" si="0"/>
        <v/>
      </c>
    </row>
    <row r="22" spans="1:9" ht="19.5" customHeight="1" x14ac:dyDescent="0.55000000000000004">
      <c r="A22" s="2"/>
      <c r="B22" s="2"/>
      <c r="C22" s="2"/>
      <c r="D22" s="2"/>
      <c r="E22" s="2"/>
      <c r="F22" s="2"/>
      <c r="G22" s="2"/>
      <c r="H22" s="2"/>
      <c r="I22" s="11" t="str">
        <f t="shared" si="0"/>
        <v/>
      </c>
    </row>
    <row r="23" spans="1:9" ht="19.5" customHeight="1" x14ac:dyDescent="0.55000000000000004">
      <c r="A23" s="2"/>
      <c r="B23" s="2"/>
      <c r="C23" s="2"/>
      <c r="D23" s="2"/>
      <c r="E23" s="2"/>
      <c r="F23" s="2"/>
      <c r="G23" s="2"/>
      <c r="H23" s="2"/>
      <c r="I23" s="11" t="str">
        <f t="shared" si="0"/>
        <v/>
      </c>
    </row>
    <row r="24" spans="1:9" ht="19.5" customHeight="1" x14ac:dyDescent="0.55000000000000004">
      <c r="A24" s="2"/>
      <c r="B24" s="2"/>
      <c r="C24" s="2"/>
      <c r="D24" s="2"/>
      <c r="E24" s="2"/>
      <c r="F24" s="2"/>
      <c r="G24" s="2"/>
      <c r="H24" s="2"/>
      <c r="I24" s="11" t="str">
        <f t="shared" si="0"/>
        <v/>
      </c>
    </row>
    <row r="26" spans="1:9" ht="18" customHeight="1" x14ac:dyDescent="0.55000000000000004">
      <c r="A26" s="28" t="s">
        <v>135</v>
      </c>
      <c r="B26" s="28"/>
      <c r="C26" s="28"/>
      <c r="D26" s="28"/>
      <c r="E26" s="28"/>
      <c r="F26" s="28"/>
      <c r="G26" s="28"/>
      <c r="H26" s="28"/>
      <c r="I26" s="28"/>
    </row>
    <row r="27" spans="1:9" ht="30.75" customHeight="1" x14ac:dyDescent="0.55000000000000004">
      <c r="A27" s="26" t="s">
        <v>401</v>
      </c>
      <c r="B27" s="26"/>
      <c r="C27" s="26"/>
      <c r="D27" s="26"/>
      <c r="E27" s="26"/>
      <c r="F27" s="26"/>
      <c r="G27" s="26"/>
      <c r="H27" s="26"/>
      <c r="I27" s="26"/>
    </row>
    <row r="28" spans="1:9" ht="25.5" customHeight="1" x14ac:dyDescent="0.55000000000000004">
      <c r="A28" s="26" t="s">
        <v>402</v>
      </c>
      <c r="B28" s="26"/>
      <c r="C28" s="26"/>
      <c r="D28" s="26"/>
      <c r="E28" s="26"/>
      <c r="F28" s="26"/>
      <c r="G28" s="26"/>
      <c r="H28" s="26"/>
      <c r="I28" s="26"/>
    </row>
  </sheetData>
  <mergeCells count="8">
    <mergeCell ref="A26:I26"/>
    <mergeCell ref="A27:I27"/>
    <mergeCell ref="A28:I28"/>
    <mergeCell ref="A1:B3"/>
    <mergeCell ref="C1:I1"/>
    <mergeCell ref="C2:I2"/>
    <mergeCell ref="C3:I3"/>
    <mergeCell ref="A5:I5"/>
  </mergeCells>
  <dataValidations count="2">
    <dataValidation type="list" allowBlank="1" sqref="D7:D24" xr:uid="{00000000-0002-0000-0A00-000000000000}">
      <formula1>"Consumable,Non-consumable,Fixed asset"</formula1>
      <formula2>0</formula2>
    </dataValidation>
    <dataValidation type="list" allowBlank="1" sqref="H7:H24" xr:uid="{00000000-0002-0000-0A00-000001000000}">
      <formula1>"Active,Inactive"</formula1>
      <formula2>0</formula2>
    </dataValidation>
  </dataValidations>
  <pageMargins left="0.5" right="0.5" top="1" bottom="1" header="0.511811023622047" footer="0.5"/>
  <pageSetup paperSize="9" fitToHeight="0" orientation="landscape" horizontalDpi="300" verticalDpi="300"/>
  <headerFooter>
    <oddFooter>&amp;LIN-10 | Crest Point Consulting Group&amp;CPage &amp;P of &amp;N&amp;RStrictly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A1:J26"/>
  <sheetViews>
    <sheetView showGridLines="0" zoomScaleNormal="100" workbookViewId="0"/>
  </sheetViews>
  <sheetFormatPr defaultColWidth="8.68359375" defaultRowHeight="14.4" x14ac:dyDescent="0.55000000000000004"/>
  <cols>
    <col min="1" max="1" width="11" customWidth="1"/>
    <col min="2" max="2" width="30" customWidth="1"/>
    <col min="3" max="3" width="14" customWidth="1"/>
    <col min="4" max="7" width="12" customWidth="1"/>
    <col min="8" max="8" width="14" customWidth="1"/>
    <col min="9" max="9" width="12" customWidth="1"/>
    <col min="10" max="10" width="36" customWidth="1"/>
  </cols>
  <sheetData>
    <row r="1" spans="1:10" ht="30.75" customHeight="1" x14ac:dyDescent="0.55000000000000004">
      <c r="A1" s="39" t="s">
        <v>84</v>
      </c>
      <c r="B1" s="39"/>
      <c r="C1" s="40" t="s">
        <v>0</v>
      </c>
      <c r="D1" s="40"/>
      <c r="E1" s="40"/>
      <c r="F1" s="40"/>
      <c r="G1" s="40"/>
      <c r="H1" s="40"/>
      <c r="I1" s="40"/>
      <c r="J1" s="40"/>
    </row>
    <row r="2" spans="1:10" ht="21.75" customHeight="1" x14ac:dyDescent="0.55000000000000004">
      <c r="A2" s="39"/>
      <c r="B2" s="39"/>
      <c r="C2" s="41" t="s">
        <v>403</v>
      </c>
      <c r="D2" s="41"/>
      <c r="E2" s="41"/>
      <c r="F2" s="41"/>
      <c r="G2" s="41"/>
      <c r="H2" s="41"/>
      <c r="I2" s="41"/>
      <c r="J2" s="41"/>
    </row>
    <row r="3" spans="1:10" ht="21.75" customHeight="1" x14ac:dyDescent="0.55000000000000004">
      <c r="A3" s="39"/>
      <c r="B3" s="39"/>
      <c r="C3" s="42" t="s">
        <v>404</v>
      </c>
      <c r="D3" s="42"/>
      <c r="E3" s="42"/>
      <c r="F3" s="42"/>
      <c r="G3" s="42"/>
      <c r="H3" s="42"/>
      <c r="I3" s="42"/>
      <c r="J3" s="42"/>
    </row>
    <row r="5" spans="1:10" ht="18" customHeight="1" x14ac:dyDescent="0.55000000000000004">
      <c r="A5" s="28" t="s">
        <v>405</v>
      </c>
      <c r="B5" s="28"/>
      <c r="C5" s="43" t="s">
        <v>406</v>
      </c>
      <c r="D5" s="43"/>
      <c r="E5" s="43"/>
      <c r="F5" s="43"/>
      <c r="G5" s="28" t="s">
        <v>407</v>
      </c>
      <c r="H5" s="28"/>
      <c r="I5" s="33" t="s">
        <v>408</v>
      </c>
      <c r="J5" s="33"/>
    </row>
    <row r="7" spans="1:10" ht="33.75" customHeight="1" x14ac:dyDescent="0.55000000000000004">
      <c r="A7" s="8" t="s">
        <v>100</v>
      </c>
      <c r="B7" s="8" t="s">
        <v>101</v>
      </c>
      <c r="C7" s="8" t="s">
        <v>409</v>
      </c>
      <c r="D7" s="8" t="s">
        <v>410</v>
      </c>
      <c r="E7" s="8" t="s">
        <v>411</v>
      </c>
      <c r="F7" s="8" t="s">
        <v>412</v>
      </c>
      <c r="G7" s="8" t="s">
        <v>413</v>
      </c>
      <c r="H7" s="8" t="s">
        <v>414</v>
      </c>
      <c r="I7" s="8" t="s">
        <v>415</v>
      </c>
      <c r="J7" s="8" t="s">
        <v>416</v>
      </c>
    </row>
    <row r="8" spans="1:10" ht="21.75" customHeight="1" x14ac:dyDescent="0.55000000000000004">
      <c r="A8" s="12" t="s">
        <v>104</v>
      </c>
      <c r="B8" s="12" t="s">
        <v>105</v>
      </c>
      <c r="C8" s="12" t="s">
        <v>94</v>
      </c>
      <c r="D8" s="22">
        <v>35</v>
      </c>
      <c r="E8" s="22">
        <v>0</v>
      </c>
      <c r="F8" s="22">
        <v>10</v>
      </c>
      <c r="G8" s="22">
        <v>0</v>
      </c>
      <c r="H8" s="23">
        <f t="shared" ref="H8:H19" si="0">IF(A8="","",D8+E8-F8-G8)</f>
        <v>25</v>
      </c>
      <c r="I8" s="22">
        <v>20</v>
      </c>
      <c r="J8" s="11" t="str">
        <f t="shared" ref="J8:J19" si="1">IF(A8="","",IF(H8&lt;I8,"LOW STOCK - notify Inventory Officer to initiate replenishment","OK"))</f>
        <v>OK</v>
      </c>
    </row>
    <row r="9" spans="1:10" ht="21.75" customHeight="1" x14ac:dyDescent="0.55000000000000004">
      <c r="A9" s="12" t="s">
        <v>382</v>
      </c>
      <c r="B9" s="12" t="s">
        <v>383</v>
      </c>
      <c r="C9" s="12" t="s">
        <v>417</v>
      </c>
      <c r="D9" s="22">
        <v>5200</v>
      </c>
      <c r="E9" s="22">
        <v>3000</v>
      </c>
      <c r="F9" s="22">
        <v>6100</v>
      </c>
      <c r="G9" s="22">
        <v>0</v>
      </c>
      <c r="H9" s="23">
        <f t="shared" si="0"/>
        <v>2100</v>
      </c>
      <c r="I9" s="22">
        <v>2000</v>
      </c>
      <c r="J9" s="11" t="str">
        <f t="shared" si="1"/>
        <v>OK</v>
      </c>
    </row>
    <row r="10" spans="1:10" ht="21.75" customHeight="1" x14ac:dyDescent="0.55000000000000004">
      <c r="A10" s="12" t="s">
        <v>382</v>
      </c>
      <c r="B10" s="12" t="s">
        <v>383</v>
      </c>
      <c r="C10" s="12" t="s">
        <v>94</v>
      </c>
      <c r="D10" s="22">
        <v>900</v>
      </c>
      <c r="E10" s="22">
        <v>0</v>
      </c>
      <c r="F10" s="22">
        <v>400</v>
      </c>
      <c r="G10" s="22">
        <v>0</v>
      </c>
      <c r="H10" s="23">
        <f t="shared" si="0"/>
        <v>500</v>
      </c>
      <c r="I10" s="22">
        <v>2000</v>
      </c>
      <c r="J10" s="11" t="str">
        <f t="shared" si="1"/>
        <v>LOW STOCK - notify Inventory Officer to initiate replenishment</v>
      </c>
    </row>
    <row r="11" spans="1:10" ht="21.75" customHeight="1" x14ac:dyDescent="0.55000000000000004">
      <c r="A11" s="12" t="s">
        <v>389</v>
      </c>
      <c r="B11" s="12" t="s">
        <v>390</v>
      </c>
      <c r="C11" s="12" t="s">
        <v>418</v>
      </c>
      <c r="D11" s="22">
        <v>6</v>
      </c>
      <c r="E11" s="22">
        <v>0</v>
      </c>
      <c r="F11" s="22">
        <v>2</v>
      </c>
      <c r="G11" s="22">
        <v>0</v>
      </c>
      <c r="H11" s="23">
        <f t="shared" si="0"/>
        <v>4</v>
      </c>
      <c r="I11" s="22">
        <v>3</v>
      </c>
      <c r="J11" s="11" t="str">
        <f t="shared" si="1"/>
        <v>OK</v>
      </c>
    </row>
    <row r="12" spans="1:10" ht="21.75" customHeight="1" x14ac:dyDescent="0.55000000000000004">
      <c r="A12" s="2"/>
      <c r="B12" s="2"/>
      <c r="C12" s="2"/>
      <c r="D12" s="24"/>
      <c r="E12" s="24"/>
      <c r="F12" s="24"/>
      <c r="G12" s="24"/>
      <c r="H12" s="23" t="str">
        <f t="shared" si="0"/>
        <v/>
      </c>
      <c r="I12" s="24"/>
      <c r="J12" s="11" t="str">
        <f t="shared" si="1"/>
        <v/>
      </c>
    </row>
    <row r="13" spans="1:10" ht="21.75" customHeight="1" x14ac:dyDescent="0.55000000000000004">
      <c r="A13" s="2"/>
      <c r="B13" s="2"/>
      <c r="C13" s="2"/>
      <c r="D13" s="24"/>
      <c r="E13" s="24"/>
      <c r="F13" s="24"/>
      <c r="G13" s="24"/>
      <c r="H13" s="23" t="str">
        <f t="shared" si="0"/>
        <v/>
      </c>
      <c r="I13" s="24"/>
      <c r="J13" s="11" t="str">
        <f t="shared" si="1"/>
        <v/>
      </c>
    </row>
    <row r="14" spans="1:10" ht="21.75" customHeight="1" x14ac:dyDescent="0.55000000000000004">
      <c r="A14" s="2"/>
      <c r="B14" s="2"/>
      <c r="C14" s="2"/>
      <c r="D14" s="24"/>
      <c r="E14" s="24"/>
      <c r="F14" s="24"/>
      <c r="G14" s="24"/>
      <c r="H14" s="23" t="str">
        <f t="shared" si="0"/>
        <v/>
      </c>
      <c r="I14" s="24"/>
      <c r="J14" s="11" t="str">
        <f t="shared" si="1"/>
        <v/>
      </c>
    </row>
    <row r="15" spans="1:10" ht="21.75" customHeight="1" x14ac:dyDescent="0.55000000000000004">
      <c r="A15" s="2"/>
      <c r="B15" s="2"/>
      <c r="C15" s="2"/>
      <c r="D15" s="24"/>
      <c r="E15" s="24"/>
      <c r="F15" s="24"/>
      <c r="G15" s="24"/>
      <c r="H15" s="23" t="str">
        <f t="shared" si="0"/>
        <v/>
      </c>
      <c r="I15" s="24"/>
      <c r="J15" s="11" t="str">
        <f t="shared" si="1"/>
        <v/>
      </c>
    </row>
    <row r="16" spans="1:10" ht="21.75" customHeight="1" x14ac:dyDescent="0.55000000000000004">
      <c r="A16" s="2"/>
      <c r="B16" s="2"/>
      <c r="C16" s="2"/>
      <c r="D16" s="24"/>
      <c r="E16" s="24"/>
      <c r="F16" s="24"/>
      <c r="G16" s="24"/>
      <c r="H16" s="23" t="str">
        <f t="shared" si="0"/>
        <v/>
      </c>
      <c r="I16" s="24"/>
      <c r="J16" s="11" t="str">
        <f t="shared" si="1"/>
        <v/>
      </c>
    </row>
    <row r="17" spans="1:10" ht="21.75" customHeight="1" x14ac:dyDescent="0.55000000000000004">
      <c r="A17" s="2"/>
      <c r="B17" s="2"/>
      <c r="C17" s="2"/>
      <c r="D17" s="24"/>
      <c r="E17" s="24"/>
      <c r="F17" s="24"/>
      <c r="G17" s="24"/>
      <c r="H17" s="23" t="str">
        <f t="shared" si="0"/>
        <v/>
      </c>
      <c r="I17" s="24"/>
      <c r="J17" s="11" t="str">
        <f t="shared" si="1"/>
        <v/>
      </c>
    </row>
    <row r="18" spans="1:10" ht="21.75" customHeight="1" x14ac:dyDescent="0.55000000000000004">
      <c r="A18" s="2"/>
      <c r="B18" s="2"/>
      <c r="C18" s="2"/>
      <c r="D18" s="24"/>
      <c r="E18" s="24"/>
      <c r="F18" s="24"/>
      <c r="G18" s="24"/>
      <c r="H18" s="23" t="str">
        <f t="shared" si="0"/>
        <v/>
      </c>
      <c r="I18" s="24"/>
      <c r="J18" s="11" t="str">
        <f t="shared" si="1"/>
        <v/>
      </c>
    </row>
    <row r="19" spans="1:10" ht="21.75" customHeight="1" x14ac:dyDescent="0.55000000000000004">
      <c r="A19" s="2"/>
      <c r="B19" s="2"/>
      <c r="C19" s="2"/>
      <c r="D19" s="24"/>
      <c r="E19" s="24"/>
      <c r="F19" s="24"/>
      <c r="G19" s="24"/>
      <c r="H19" s="23" t="str">
        <f t="shared" si="0"/>
        <v/>
      </c>
      <c r="I19" s="24"/>
      <c r="J19" s="11" t="str">
        <f t="shared" si="1"/>
        <v/>
      </c>
    </row>
    <row r="21" spans="1:10" ht="18" customHeight="1" x14ac:dyDescent="0.55000000000000004">
      <c r="A21" s="44" t="s">
        <v>419</v>
      </c>
      <c r="B21" s="44"/>
      <c r="C21" s="44"/>
      <c r="D21" s="44"/>
      <c r="E21" s="44"/>
      <c r="F21" s="44"/>
      <c r="G21" s="44"/>
      <c r="H21" s="25">
        <f>COUNTIF(J8:J19,"LOW*")</f>
        <v>1</v>
      </c>
    </row>
    <row r="23" spans="1:10" ht="18" customHeight="1" x14ac:dyDescent="0.55000000000000004">
      <c r="A23" s="28" t="s">
        <v>135</v>
      </c>
      <c r="B23" s="28"/>
      <c r="C23" s="28"/>
      <c r="D23" s="28"/>
      <c r="E23" s="28"/>
      <c r="F23" s="28"/>
      <c r="G23" s="28"/>
      <c r="H23" s="28"/>
      <c r="I23" s="28"/>
      <c r="J23" s="28"/>
    </row>
    <row r="24" spans="1:10" ht="30.75" customHeight="1" x14ac:dyDescent="0.55000000000000004">
      <c r="A24" s="26" t="s">
        <v>420</v>
      </c>
      <c r="B24" s="26"/>
      <c r="C24" s="26"/>
      <c r="D24" s="26"/>
      <c r="E24" s="26"/>
      <c r="F24" s="26"/>
      <c r="G24" s="26"/>
      <c r="H24" s="26"/>
      <c r="I24" s="26"/>
      <c r="J24" s="26"/>
    </row>
    <row r="25" spans="1:10" ht="30.75" customHeight="1" x14ac:dyDescent="0.55000000000000004">
      <c r="A25" s="26" t="s">
        <v>421</v>
      </c>
      <c r="B25" s="26"/>
      <c r="C25" s="26"/>
      <c r="D25" s="26"/>
      <c r="E25" s="26"/>
      <c r="F25" s="26"/>
      <c r="G25" s="26"/>
      <c r="H25" s="26"/>
      <c r="I25" s="26"/>
      <c r="J25" s="26"/>
    </row>
    <row r="26" spans="1:10" ht="30.75" customHeight="1" x14ac:dyDescent="0.55000000000000004">
      <c r="A26" s="26" t="s">
        <v>422</v>
      </c>
      <c r="B26" s="26"/>
      <c r="C26" s="26"/>
      <c r="D26" s="26"/>
      <c r="E26" s="26"/>
      <c r="F26" s="26"/>
      <c r="G26" s="26"/>
      <c r="H26" s="26"/>
      <c r="I26" s="26"/>
      <c r="J26" s="26"/>
    </row>
  </sheetData>
  <mergeCells count="13">
    <mergeCell ref="A1:B3"/>
    <mergeCell ref="C1:J1"/>
    <mergeCell ref="C2:J2"/>
    <mergeCell ref="C3:J3"/>
    <mergeCell ref="A5:B5"/>
    <mergeCell ref="C5:F5"/>
    <mergeCell ref="G5:H5"/>
    <mergeCell ref="I5:J5"/>
    <mergeCell ref="A21:G21"/>
    <mergeCell ref="A23:J23"/>
    <mergeCell ref="A24:J24"/>
    <mergeCell ref="A25:J25"/>
    <mergeCell ref="A26:J26"/>
  </mergeCells>
  <pageMargins left="0.5" right="0.5" top="1" bottom="1" header="0.511811023622047" footer="0.5"/>
  <pageSetup paperSize="9" fitToHeight="0" orientation="landscape" horizontalDpi="300" verticalDpi="300"/>
  <headerFooter>
    <oddFooter>&amp;LIN-11 | Crest Point Consulting Group&amp;CPage &amp;P of &amp;N&amp;RStrictly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A1:F19"/>
  <sheetViews>
    <sheetView showGridLines="0" zoomScaleNormal="100" workbookViewId="0">
      <pane ySplit="5" topLeftCell="A6" activePane="bottomLeft" state="frozen"/>
      <selection pane="bottomLeft"/>
    </sheetView>
  </sheetViews>
  <sheetFormatPr defaultColWidth="8.68359375" defaultRowHeight="14.4" x14ac:dyDescent="0.55000000000000004"/>
  <cols>
    <col min="1" max="1" width="28" customWidth="1"/>
    <col min="2" max="2" width="32" customWidth="1"/>
    <col min="3" max="4" width="34" customWidth="1"/>
    <col min="5" max="5" width="28" customWidth="1"/>
    <col min="6" max="6" width="40" customWidth="1"/>
  </cols>
  <sheetData>
    <row r="1" spans="1:6" ht="21.75" customHeight="1" x14ac:dyDescent="0.55000000000000004">
      <c r="A1" s="39" t="s">
        <v>84</v>
      </c>
      <c r="B1" s="39"/>
      <c r="C1" s="40" t="s">
        <v>0</v>
      </c>
      <c r="D1" s="40"/>
      <c r="E1" s="40"/>
      <c r="F1" s="40"/>
    </row>
    <row r="2" spans="1:6" ht="21.75" customHeight="1" x14ac:dyDescent="0.55000000000000004">
      <c r="A2" s="39"/>
      <c r="B2" s="39"/>
      <c r="C2" s="41" t="s">
        <v>423</v>
      </c>
      <c r="D2" s="41"/>
      <c r="E2" s="41"/>
      <c r="F2" s="41"/>
    </row>
    <row r="3" spans="1:6" ht="21.75" customHeight="1" x14ac:dyDescent="0.55000000000000004">
      <c r="A3" s="39"/>
      <c r="B3" s="39"/>
      <c r="C3" s="42" t="s">
        <v>424</v>
      </c>
      <c r="D3" s="42"/>
      <c r="E3" s="42"/>
      <c r="F3" s="42"/>
    </row>
    <row r="5" spans="1:6" ht="33.75" customHeight="1" x14ac:dyDescent="0.55000000000000004">
      <c r="A5" s="8" t="s">
        <v>425</v>
      </c>
      <c r="B5" s="8" t="s">
        <v>426</v>
      </c>
      <c r="C5" s="8" t="s">
        <v>427</v>
      </c>
      <c r="D5" s="8" t="s">
        <v>428</v>
      </c>
      <c r="E5" s="8" t="s">
        <v>429</v>
      </c>
      <c r="F5" s="8" t="s">
        <v>430</v>
      </c>
    </row>
    <row r="6" spans="1:6" ht="30.75" customHeight="1" x14ac:dyDescent="0.55000000000000004">
      <c r="A6" s="2" t="s">
        <v>17</v>
      </c>
      <c r="B6" s="2" t="s">
        <v>431</v>
      </c>
      <c r="C6" s="2" t="s">
        <v>432</v>
      </c>
      <c r="D6" s="2" t="s">
        <v>433</v>
      </c>
      <c r="E6" s="2" t="s">
        <v>434</v>
      </c>
      <c r="F6" s="2" t="s">
        <v>435</v>
      </c>
    </row>
    <row r="7" spans="1:6" ht="30.75" customHeight="1" x14ac:dyDescent="0.55000000000000004">
      <c r="A7" s="2" t="s">
        <v>29</v>
      </c>
      <c r="B7" s="2" t="s">
        <v>431</v>
      </c>
      <c r="C7" s="2" t="s">
        <v>436</v>
      </c>
      <c r="D7" s="2" t="s">
        <v>433</v>
      </c>
      <c r="E7" s="2" t="s">
        <v>434</v>
      </c>
      <c r="F7" s="2" t="s">
        <v>437</v>
      </c>
    </row>
    <row r="8" spans="1:6" ht="30.75" customHeight="1" x14ac:dyDescent="0.55000000000000004">
      <c r="A8" s="2" t="s">
        <v>21</v>
      </c>
      <c r="B8" s="2" t="s">
        <v>438</v>
      </c>
      <c r="C8" s="2" t="s">
        <v>439</v>
      </c>
      <c r="D8" s="2" t="s">
        <v>434</v>
      </c>
      <c r="E8" s="2" t="s">
        <v>434</v>
      </c>
      <c r="F8" s="2" t="s">
        <v>440</v>
      </c>
    </row>
    <row r="9" spans="1:6" ht="30.75" customHeight="1" x14ac:dyDescent="0.55000000000000004">
      <c r="A9" s="2" t="s">
        <v>25</v>
      </c>
      <c r="B9" s="2" t="s">
        <v>441</v>
      </c>
      <c r="C9" s="2" t="s">
        <v>442</v>
      </c>
      <c r="D9" s="2" t="s">
        <v>434</v>
      </c>
      <c r="E9" s="2" t="s">
        <v>434</v>
      </c>
      <c r="F9" s="2" t="s">
        <v>443</v>
      </c>
    </row>
    <row r="10" spans="1:6" ht="43.5" customHeight="1" x14ac:dyDescent="0.55000000000000004">
      <c r="A10" s="2" t="s">
        <v>33</v>
      </c>
      <c r="B10" s="2" t="s">
        <v>444</v>
      </c>
      <c r="C10" s="2" t="s">
        <v>445</v>
      </c>
      <c r="D10" s="2" t="s">
        <v>434</v>
      </c>
      <c r="E10" s="2" t="s">
        <v>446</v>
      </c>
      <c r="F10" s="2" t="s">
        <v>447</v>
      </c>
    </row>
    <row r="11" spans="1:6" ht="43.5" customHeight="1" x14ac:dyDescent="0.55000000000000004">
      <c r="A11" s="2" t="s">
        <v>448</v>
      </c>
      <c r="B11" s="2" t="s">
        <v>449</v>
      </c>
      <c r="C11" s="2" t="s">
        <v>450</v>
      </c>
      <c r="D11" s="2" t="s">
        <v>434</v>
      </c>
      <c r="E11" s="2" t="s">
        <v>451</v>
      </c>
      <c r="F11" s="2" t="s">
        <v>452</v>
      </c>
    </row>
    <row r="12" spans="1:6" ht="30.75" customHeight="1" x14ac:dyDescent="0.55000000000000004">
      <c r="A12" s="2" t="s">
        <v>41</v>
      </c>
      <c r="B12" s="2" t="s">
        <v>453</v>
      </c>
      <c r="C12" s="2" t="s">
        <v>454</v>
      </c>
      <c r="D12" s="2" t="s">
        <v>434</v>
      </c>
      <c r="E12" s="2" t="s">
        <v>434</v>
      </c>
      <c r="F12" s="2" t="s">
        <v>455</v>
      </c>
    </row>
    <row r="13" spans="1:6" ht="30.75" customHeight="1" x14ac:dyDescent="0.55000000000000004">
      <c r="A13" s="2" t="s">
        <v>45</v>
      </c>
      <c r="B13" s="2" t="s">
        <v>456</v>
      </c>
      <c r="C13" s="2" t="s">
        <v>457</v>
      </c>
      <c r="D13" s="2" t="s">
        <v>434</v>
      </c>
      <c r="E13" s="2" t="s">
        <v>458</v>
      </c>
      <c r="F13" s="2" t="s">
        <v>459</v>
      </c>
    </row>
    <row r="14" spans="1:6" ht="30.75" customHeight="1" x14ac:dyDescent="0.55000000000000004">
      <c r="A14" s="2" t="s">
        <v>460</v>
      </c>
      <c r="B14" s="2" t="s">
        <v>461</v>
      </c>
      <c r="C14" s="2" t="s">
        <v>462</v>
      </c>
      <c r="D14" s="2" t="s">
        <v>434</v>
      </c>
      <c r="E14" s="2" t="s">
        <v>434</v>
      </c>
      <c r="F14" s="2" t="s">
        <v>463</v>
      </c>
    </row>
    <row r="15" spans="1:6" ht="30.75" customHeight="1" x14ac:dyDescent="0.55000000000000004">
      <c r="A15" s="2" t="s">
        <v>73</v>
      </c>
      <c r="B15" s="2" t="s">
        <v>453</v>
      </c>
      <c r="C15" s="2" t="s">
        <v>464</v>
      </c>
      <c r="D15" s="2" t="s">
        <v>434</v>
      </c>
      <c r="E15" s="2" t="s">
        <v>465</v>
      </c>
      <c r="F15" s="2" t="s">
        <v>466</v>
      </c>
    </row>
    <row r="17" spans="1:6" ht="18" customHeight="1" x14ac:dyDescent="0.55000000000000004">
      <c r="A17" s="28" t="s">
        <v>135</v>
      </c>
      <c r="B17" s="28"/>
      <c r="C17" s="28"/>
      <c r="D17" s="28"/>
      <c r="E17" s="28"/>
      <c r="F17" s="28"/>
    </row>
    <row r="18" spans="1:6" ht="21.75" customHeight="1" x14ac:dyDescent="0.55000000000000004">
      <c r="A18" s="26" t="s">
        <v>467</v>
      </c>
      <c r="B18" s="26"/>
      <c r="C18" s="26"/>
      <c r="D18" s="26"/>
      <c r="E18" s="26"/>
      <c r="F18" s="26"/>
    </row>
    <row r="19" spans="1:6" ht="21.75" customHeight="1" x14ac:dyDescent="0.55000000000000004">
      <c r="A19" s="26" t="s">
        <v>468</v>
      </c>
      <c r="B19" s="26"/>
      <c r="C19" s="26"/>
      <c r="D19" s="26"/>
      <c r="E19" s="26"/>
      <c r="F19" s="26"/>
    </row>
  </sheetData>
  <mergeCells count="7">
    <mergeCell ref="A18:F18"/>
    <mergeCell ref="A19:F19"/>
    <mergeCell ref="A1:B3"/>
    <mergeCell ref="C1:F1"/>
    <mergeCell ref="C2:F2"/>
    <mergeCell ref="C3:F3"/>
    <mergeCell ref="A17:F17"/>
  </mergeCells>
  <pageMargins left="0.5" right="0.5" top="1" bottom="1" header="0.511811023622047" footer="0.5"/>
  <pageSetup paperSize="9" fitToHeight="0" orientation="landscape" horizontalDpi="300" verticalDpi="300"/>
  <headerFooter>
    <oddFooter>&amp;LIN-12 | Crest Point Consulting Group&amp;CPage &amp;P of &amp;N&amp;RStrictly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A1:E14"/>
  <sheetViews>
    <sheetView showGridLines="0" zoomScaleNormal="100" workbookViewId="0"/>
  </sheetViews>
  <sheetFormatPr defaultColWidth="8.68359375" defaultRowHeight="14.4" x14ac:dyDescent="0.55000000000000004"/>
  <cols>
    <col min="1" max="1" width="5" customWidth="1"/>
    <col min="2" max="2" width="50" customWidth="1"/>
    <col min="3" max="4" width="34" customWidth="1"/>
    <col min="5" max="5" width="44" customWidth="1"/>
  </cols>
  <sheetData>
    <row r="1" spans="1:5" ht="55.5" customHeight="1" x14ac:dyDescent="0.55000000000000004">
      <c r="A1" s="39" t="s">
        <v>84</v>
      </c>
      <c r="B1" s="39"/>
      <c r="C1" s="40" t="s">
        <v>0</v>
      </c>
      <c r="D1" s="40"/>
      <c r="E1" s="40"/>
    </row>
    <row r="2" spans="1:5" ht="21.75" customHeight="1" x14ac:dyDescent="0.55000000000000004">
      <c r="A2" s="39"/>
      <c r="B2" s="39"/>
      <c r="C2" s="41" t="s">
        <v>469</v>
      </c>
      <c r="D2" s="41"/>
      <c r="E2" s="41"/>
    </row>
    <row r="3" spans="1:5" ht="21.75" customHeight="1" x14ac:dyDescent="0.55000000000000004">
      <c r="A3" s="39"/>
      <c r="B3" s="39"/>
      <c r="C3" s="42" t="s">
        <v>470</v>
      </c>
      <c r="D3" s="42"/>
      <c r="E3" s="42"/>
    </row>
    <row r="5" spans="1:5" ht="30" customHeight="1" x14ac:dyDescent="0.55000000000000004">
      <c r="A5" s="8" t="s">
        <v>471</v>
      </c>
      <c r="B5" s="8" t="s">
        <v>472</v>
      </c>
      <c r="C5" s="8" t="s">
        <v>473</v>
      </c>
      <c r="D5" s="8" t="s">
        <v>474</v>
      </c>
      <c r="E5" s="8" t="s">
        <v>475</v>
      </c>
    </row>
    <row r="6" spans="1:5" ht="18" customHeight="1" x14ac:dyDescent="0.55000000000000004">
      <c r="A6" s="2">
        <v>1</v>
      </c>
      <c r="B6" s="2" t="s">
        <v>476</v>
      </c>
      <c r="C6" s="2" t="s">
        <v>477</v>
      </c>
      <c r="D6" s="2" t="s">
        <v>478</v>
      </c>
      <c r="E6" s="2" t="s">
        <v>479</v>
      </c>
    </row>
    <row r="7" spans="1:5" ht="18" customHeight="1" x14ac:dyDescent="0.55000000000000004">
      <c r="A7" s="2">
        <v>2</v>
      </c>
      <c r="B7" s="2" t="s">
        <v>480</v>
      </c>
      <c r="C7" s="2" t="s">
        <v>191</v>
      </c>
      <c r="D7" s="2" t="s">
        <v>478</v>
      </c>
      <c r="E7" s="2" t="s">
        <v>481</v>
      </c>
    </row>
    <row r="8" spans="1:5" ht="30.75" customHeight="1" x14ac:dyDescent="0.55000000000000004">
      <c r="A8" s="2">
        <v>3</v>
      </c>
      <c r="B8" s="2" t="s">
        <v>482</v>
      </c>
      <c r="C8" s="2" t="s">
        <v>477</v>
      </c>
      <c r="D8" s="2" t="s">
        <v>483</v>
      </c>
      <c r="E8" s="2" t="s">
        <v>484</v>
      </c>
    </row>
    <row r="9" spans="1:5" ht="30.75" customHeight="1" x14ac:dyDescent="0.55000000000000004">
      <c r="A9" s="2">
        <v>4</v>
      </c>
      <c r="B9" s="2" t="s">
        <v>485</v>
      </c>
      <c r="C9" s="2" t="s">
        <v>478</v>
      </c>
      <c r="D9" s="2" t="s">
        <v>483</v>
      </c>
      <c r="E9" s="2" t="s">
        <v>484</v>
      </c>
    </row>
    <row r="10" spans="1:5" ht="18" customHeight="1" x14ac:dyDescent="0.55000000000000004">
      <c r="A10" s="2">
        <v>5</v>
      </c>
      <c r="B10" s="2" t="s">
        <v>486</v>
      </c>
      <c r="C10" s="2" t="s">
        <v>487</v>
      </c>
      <c r="D10" s="2" t="s">
        <v>478</v>
      </c>
      <c r="E10" s="2" t="s">
        <v>488</v>
      </c>
    </row>
    <row r="11" spans="1:5" ht="18" customHeight="1" x14ac:dyDescent="0.55000000000000004">
      <c r="A11" s="2">
        <v>6</v>
      </c>
      <c r="B11" s="2" t="s">
        <v>489</v>
      </c>
      <c r="C11" s="2" t="s">
        <v>490</v>
      </c>
      <c r="D11" s="2" t="s">
        <v>478</v>
      </c>
      <c r="E11" s="2" t="s">
        <v>488</v>
      </c>
    </row>
    <row r="12" spans="1:5" ht="18" customHeight="1" x14ac:dyDescent="0.55000000000000004">
      <c r="A12" s="2">
        <v>7</v>
      </c>
      <c r="B12" s="2" t="s">
        <v>491</v>
      </c>
      <c r="C12" s="2" t="s">
        <v>492</v>
      </c>
      <c r="D12" s="2" t="s">
        <v>483</v>
      </c>
      <c r="E12" s="2" t="s">
        <v>493</v>
      </c>
    </row>
    <row r="13" spans="1:5" ht="30.75" customHeight="1" x14ac:dyDescent="0.55000000000000004">
      <c r="A13" s="2">
        <v>8</v>
      </c>
      <c r="B13" s="2" t="s">
        <v>494</v>
      </c>
      <c r="C13" s="2" t="s">
        <v>495</v>
      </c>
      <c r="D13" s="2" t="s">
        <v>496</v>
      </c>
      <c r="E13" s="2" t="s">
        <v>497</v>
      </c>
    </row>
    <row r="14" spans="1:5" ht="30.75" customHeight="1" x14ac:dyDescent="0.55000000000000004">
      <c r="A14" s="2">
        <v>9</v>
      </c>
      <c r="B14" s="2" t="s">
        <v>498</v>
      </c>
      <c r="C14" s="2" t="s">
        <v>499</v>
      </c>
      <c r="D14" s="2" t="s">
        <v>499</v>
      </c>
      <c r="E14" s="2" t="s">
        <v>500</v>
      </c>
    </row>
  </sheetData>
  <mergeCells count="4">
    <mergeCell ref="A1:B3"/>
    <mergeCell ref="C1:E1"/>
    <mergeCell ref="C2:E2"/>
    <mergeCell ref="C3:E3"/>
  </mergeCells>
  <pageMargins left="0.5" right="0.5" top="1" bottom="1" header="0.511811023622047" footer="0.5"/>
  <pageSetup paperSize="9" fitToHeight="0" orientation="landscape" horizontalDpi="300" verticalDpi="300"/>
  <headerFooter>
    <oddFooter>&amp;LIN-13 | Crest Point Consulting Group&amp;CPage &amp;P of &amp;N&amp;RStrictly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E16"/>
  <sheetViews>
    <sheetView showGridLines="0" zoomScaleNormal="100" workbookViewId="0"/>
  </sheetViews>
  <sheetFormatPr defaultColWidth="8.68359375" defaultRowHeight="14.4" x14ac:dyDescent="0.55000000000000004"/>
  <cols>
    <col min="1" max="1" width="5" customWidth="1"/>
    <col min="2" max="2" width="40" customWidth="1"/>
    <col min="3" max="3" width="20" customWidth="1"/>
    <col min="4" max="4" width="70" customWidth="1"/>
    <col min="5" max="5" width="14" customWidth="1"/>
  </cols>
  <sheetData>
    <row r="1" spans="1:5" ht="55.5" customHeight="1" x14ac:dyDescent="0.55000000000000004">
      <c r="A1" s="39" t="s">
        <v>84</v>
      </c>
      <c r="B1" s="39"/>
      <c r="C1" s="40" t="s">
        <v>0</v>
      </c>
      <c r="D1" s="40"/>
      <c r="E1" s="40"/>
    </row>
    <row r="2" spans="1:5" ht="21.75" customHeight="1" x14ac:dyDescent="0.55000000000000004">
      <c r="A2" s="39"/>
      <c r="B2" s="39"/>
      <c r="C2" s="41" t="s">
        <v>501</v>
      </c>
      <c r="D2" s="41"/>
      <c r="E2" s="41"/>
    </row>
    <row r="3" spans="1:5" ht="21.75" customHeight="1" x14ac:dyDescent="0.55000000000000004">
      <c r="A3" s="39"/>
      <c r="B3" s="39"/>
      <c r="C3" s="42" t="s">
        <v>502</v>
      </c>
      <c r="D3" s="42"/>
      <c r="E3" s="42"/>
    </row>
    <row r="5" spans="1:5" ht="30" customHeight="1" x14ac:dyDescent="0.55000000000000004">
      <c r="A5" s="8" t="s">
        <v>471</v>
      </c>
      <c r="B5" s="8" t="s">
        <v>503</v>
      </c>
      <c r="C5" s="8" t="s">
        <v>504</v>
      </c>
      <c r="D5" s="8" t="s">
        <v>505</v>
      </c>
      <c r="E5" s="8" t="s">
        <v>506</v>
      </c>
    </row>
    <row r="6" spans="1:5" ht="18" customHeight="1" x14ac:dyDescent="0.55000000000000004">
      <c r="A6" s="2">
        <v>1</v>
      </c>
      <c r="B6" s="2" t="s">
        <v>507</v>
      </c>
      <c r="C6" s="2" t="s">
        <v>508</v>
      </c>
      <c r="D6" s="2" t="s">
        <v>509</v>
      </c>
      <c r="E6" s="2" t="s">
        <v>510</v>
      </c>
    </row>
    <row r="7" spans="1:5" ht="18" customHeight="1" x14ac:dyDescent="0.55000000000000004">
      <c r="A7" s="2">
        <v>2</v>
      </c>
      <c r="B7" s="2" t="s">
        <v>511</v>
      </c>
      <c r="C7" s="2" t="s">
        <v>508</v>
      </c>
      <c r="D7" s="2" t="s">
        <v>512</v>
      </c>
      <c r="E7" s="2" t="s">
        <v>510</v>
      </c>
    </row>
    <row r="8" spans="1:5" ht="18" customHeight="1" x14ac:dyDescent="0.55000000000000004">
      <c r="A8" s="2">
        <v>3</v>
      </c>
      <c r="B8" s="2" t="s">
        <v>513</v>
      </c>
      <c r="C8" s="2" t="s">
        <v>508</v>
      </c>
      <c r="D8" s="2" t="s">
        <v>514</v>
      </c>
      <c r="E8" s="2" t="s">
        <v>510</v>
      </c>
    </row>
    <row r="9" spans="1:5" ht="18" customHeight="1" x14ac:dyDescent="0.55000000000000004">
      <c r="A9" s="2">
        <v>4</v>
      </c>
      <c r="B9" s="2" t="s">
        <v>515</v>
      </c>
      <c r="C9" s="2" t="s">
        <v>508</v>
      </c>
      <c r="D9" s="2" t="s">
        <v>516</v>
      </c>
      <c r="E9" s="2" t="s">
        <v>510</v>
      </c>
    </row>
    <row r="10" spans="1:5" ht="18" customHeight="1" x14ac:dyDescent="0.55000000000000004">
      <c r="A10" s="2">
        <v>5</v>
      </c>
      <c r="B10" s="2" t="s">
        <v>517</v>
      </c>
      <c r="C10" s="2" t="s">
        <v>508</v>
      </c>
      <c r="D10" s="2" t="s">
        <v>518</v>
      </c>
      <c r="E10" s="2" t="s">
        <v>510</v>
      </c>
    </row>
    <row r="11" spans="1:5" ht="30.75" customHeight="1" x14ac:dyDescent="0.55000000000000004">
      <c r="A11" s="2">
        <v>6</v>
      </c>
      <c r="B11" s="2" t="s">
        <v>519</v>
      </c>
      <c r="C11" s="2" t="s">
        <v>508</v>
      </c>
      <c r="D11" s="2" t="s">
        <v>520</v>
      </c>
      <c r="E11" s="2" t="s">
        <v>510</v>
      </c>
    </row>
    <row r="12" spans="1:5" ht="30.75" customHeight="1" x14ac:dyDescent="0.55000000000000004">
      <c r="A12" s="2">
        <v>7</v>
      </c>
      <c r="B12" s="2" t="s">
        <v>521</v>
      </c>
      <c r="C12" s="2" t="s">
        <v>522</v>
      </c>
      <c r="D12" s="2" t="s">
        <v>523</v>
      </c>
      <c r="E12" s="2" t="s">
        <v>510</v>
      </c>
    </row>
    <row r="13" spans="1:5" ht="18" customHeight="1" x14ac:dyDescent="0.55000000000000004">
      <c r="A13" s="2">
        <v>8</v>
      </c>
      <c r="B13" s="2" t="s">
        <v>524</v>
      </c>
      <c r="C13" s="2" t="s">
        <v>508</v>
      </c>
      <c r="D13" s="2" t="s">
        <v>525</v>
      </c>
      <c r="E13" s="2" t="s">
        <v>510</v>
      </c>
    </row>
    <row r="14" spans="1:5" ht="30.75" customHeight="1" x14ac:dyDescent="0.55000000000000004">
      <c r="A14" s="2">
        <v>9</v>
      </c>
      <c r="B14" s="2" t="s">
        <v>526</v>
      </c>
      <c r="C14" s="2" t="s">
        <v>508</v>
      </c>
      <c r="D14" s="2" t="s">
        <v>527</v>
      </c>
      <c r="E14" s="2" t="s">
        <v>510</v>
      </c>
    </row>
    <row r="15" spans="1:5" ht="18" customHeight="1" x14ac:dyDescent="0.55000000000000004">
      <c r="A15" s="2">
        <v>10</v>
      </c>
      <c r="B15" s="2" t="s">
        <v>528</v>
      </c>
      <c r="C15" s="2" t="s">
        <v>508</v>
      </c>
      <c r="D15" s="2" t="s">
        <v>529</v>
      </c>
      <c r="E15" s="2" t="s">
        <v>510</v>
      </c>
    </row>
    <row r="16" spans="1:5" ht="18" customHeight="1" x14ac:dyDescent="0.55000000000000004">
      <c r="A16" s="2">
        <v>11</v>
      </c>
      <c r="B16" s="2" t="s">
        <v>530</v>
      </c>
      <c r="C16" s="2" t="s">
        <v>508</v>
      </c>
      <c r="D16" s="2" t="s">
        <v>531</v>
      </c>
      <c r="E16" s="2" t="s">
        <v>510</v>
      </c>
    </row>
  </sheetData>
  <mergeCells count="4">
    <mergeCell ref="A1:B3"/>
    <mergeCell ref="C1:E1"/>
    <mergeCell ref="C2:E2"/>
    <mergeCell ref="C3:E3"/>
  </mergeCells>
  <pageMargins left="0.5" right="0.5" top="1" bottom="1" header="0.511811023622047" footer="0.5"/>
  <pageSetup paperSize="9" fitToHeight="0" orientation="landscape" horizontalDpi="300" verticalDpi="300"/>
  <headerFooter>
    <oddFooter>&amp;LIN-14 | Crest Point Consulting Group&amp;CPage &amp;P of &amp;N&amp;RStrictly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pageSetUpPr fitToPage="1"/>
  </sheetPr>
  <dimension ref="A1:F33"/>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39" t="s">
        <v>84</v>
      </c>
      <c r="B1" s="39"/>
      <c r="C1" s="40" t="s">
        <v>0</v>
      </c>
      <c r="D1" s="40"/>
      <c r="E1" s="40"/>
      <c r="F1" s="40"/>
    </row>
    <row r="2" spans="1:6" ht="21.75" customHeight="1" x14ac:dyDescent="0.55000000000000004">
      <c r="A2" s="39"/>
      <c r="B2" s="39"/>
      <c r="C2" s="41" t="s">
        <v>532</v>
      </c>
      <c r="D2" s="41"/>
      <c r="E2" s="41"/>
      <c r="F2" s="41"/>
    </row>
    <row r="3" spans="1:6" ht="21.75" customHeight="1" x14ac:dyDescent="0.55000000000000004">
      <c r="A3" s="39"/>
      <c r="B3" s="39"/>
      <c r="C3" s="42" t="s">
        <v>533</v>
      </c>
      <c r="D3" s="42"/>
      <c r="E3" s="42"/>
      <c r="F3" s="42"/>
    </row>
    <row r="5" spans="1:6" ht="18" customHeight="1" x14ac:dyDescent="0.55000000000000004">
      <c r="A5" s="36" t="s">
        <v>534</v>
      </c>
      <c r="B5" s="36"/>
      <c r="C5" s="36"/>
      <c r="D5" s="36"/>
      <c r="E5" s="36"/>
      <c r="F5" s="36"/>
    </row>
    <row r="6" spans="1:6" ht="19.5" customHeight="1" x14ac:dyDescent="0.55000000000000004">
      <c r="A6" s="28" t="s">
        <v>88</v>
      </c>
      <c r="B6" s="28"/>
      <c r="C6" s="11" t="s">
        <v>535</v>
      </c>
      <c r="D6" s="3" t="s">
        <v>536</v>
      </c>
      <c r="E6" s="35">
        <v>46309.395833333299</v>
      </c>
      <c r="F6" s="35"/>
    </row>
    <row r="7" spans="1:6" ht="19.5" customHeight="1" x14ac:dyDescent="0.55000000000000004">
      <c r="A7" s="28" t="s">
        <v>537</v>
      </c>
      <c r="B7" s="28"/>
      <c r="C7" s="11" t="s">
        <v>205</v>
      </c>
      <c r="D7" s="3" t="s">
        <v>93</v>
      </c>
      <c r="E7" s="33" t="s">
        <v>94</v>
      </c>
      <c r="F7" s="33"/>
    </row>
    <row r="8" spans="1:6" ht="19.5" customHeight="1" x14ac:dyDescent="0.55000000000000004">
      <c r="A8" s="28" t="s">
        <v>538</v>
      </c>
      <c r="B8" s="28"/>
      <c r="C8" s="12" t="s">
        <v>539</v>
      </c>
      <c r="D8" s="3" t="s">
        <v>540</v>
      </c>
      <c r="E8" s="43" t="s">
        <v>541</v>
      </c>
      <c r="F8" s="43"/>
    </row>
    <row r="9" spans="1:6" ht="30.75" customHeight="1" x14ac:dyDescent="0.55000000000000004">
      <c r="A9" s="28" t="s">
        <v>208</v>
      </c>
      <c r="B9" s="28"/>
      <c r="C9" s="11" t="s">
        <v>150</v>
      </c>
      <c r="D9" s="3" t="s">
        <v>542</v>
      </c>
      <c r="E9" s="33" t="s">
        <v>543</v>
      </c>
      <c r="F9" s="33"/>
    </row>
    <row r="10" spans="1:6" ht="30" customHeight="1" x14ac:dyDescent="0.55000000000000004">
      <c r="A10" s="28" t="s">
        <v>544</v>
      </c>
      <c r="B10" s="28"/>
      <c r="C10" s="43" t="s">
        <v>545</v>
      </c>
      <c r="D10" s="43"/>
      <c r="E10" s="43"/>
      <c r="F10" s="43"/>
    </row>
    <row r="11" spans="1:6" ht="30" customHeight="1" x14ac:dyDescent="0.55000000000000004">
      <c r="A11" s="28" t="s">
        <v>546</v>
      </c>
      <c r="B11" s="28"/>
      <c r="C11" s="43" t="s">
        <v>547</v>
      </c>
      <c r="D11" s="43"/>
      <c r="E11" s="43"/>
      <c r="F11" s="43"/>
    </row>
    <row r="12" spans="1:6" ht="30" customHeight="1" x14ac:dyDescent="0.55000000000000004">
      <c r="A12" s="28" t="s">
        <v>209</v>
      </c>
      <c r="B12" s="28"/>
      <c r="C12" s="43" t="s">
        <v>548</v>
      </c>
      <c r="D12" s="43"/>
      <c r="E12" s="43"/>
      <c r="F12" s="43"/>
    </row>
    <row r="14" spans="1:6" ht="18" customHeight="1" x14ac:dyDescent="0.55000000000000004">
      <c r="A14" s="36" t="s">
        <v>549</v>
      </c>
      <c r="B14" s="36"/>
      <c r="C14" s="36"/>
      <c r="D14" s="36"/>
      <c r="E14" s="36"/>
      <c r="F14" s="36"/>
    </row>
    <row r="15" spans="1:6" ht="19.5" customHeight="1" x14ac:dyDescent="0.55000000000000004">
      <c r="A15" s="28" t="s">
        <v>550</v>
      </c>
      <c r="B15" s="28"/>
      <c r="C15" s="12" t="s">
        <v>114</v>
      </c>
      <c r="D15" s="3" t="s">
        <v>551</v>
      </c>
      <c r="E15" s="35">
        <v>46309.420138888898</v>
      </c>
      <c r="F15" s="35"/>
    </row>
    <row r="16" spans="1:6" ht="30.75" customHeight="1" x14ac:dyDescent="0.55000000000000004">
      <c r="A16" s="28" t="s">
        <v>552</v>
      </c>
      <c r="B16" s="28"/>
      <c r="C16" s="43"/>
      <c r="D16" s="43"/>
      <c r="E16" s="43"/>
      <c r="F16" s="43"/>
    </row>
    <row r="17" spans="1:6" ht="30.75" customHeight="1" x14ac:dyDescent="0.55000000000000004">
      <c r="A17" s="28" t="s">
        <v>553</v>
      </c>
      <c r="B17" s="28"/>
      <c r="C17" s="11" t="s">
        <v>554</v>
      </c>
      <c r="D17" s="3" t="s">
        <v>555</v>
      </c>
      <c r="E17" s="33" t="s">
        <v>556</v>
      </c>
      <c r="F17" s="33"/>
    </row>
    <row r="19" spans="1:6" ht="18" customHeight="1" x14ac:dyDescent="0.55000000000000004">
      <c r="A19" s="36" t="s">
        <v>557</v>
      </c>
      <c r="B19" s="36"/>
      <c r="C19" s="36"/>
      <c r="D19" s="36"/>
      <c r="E19" s="36"/>
      <c r="F19" s="36"/>
    </row>
    <row r="20" spans="1:6" ht="18" customHeight="1" x14ac:dyDescent="0.55000000000000004">
      <c r="A20" s="28" t="s">
        <v>558</v>
      </c>
      <c r="B20" s="28"/>
      <c r="C20" s="28"/>
      <c r="D20" s="46" t="s">
        <v>559</v>
      </c>
      <c r="E20" s="46"/>
      <c r="F20" s="46"/>
    </row>
    <row r="21" spans="1:6" ht="18" customHeight="1" x14ac:dyDescent="0.55000000000000004">
      <c r="A21" s="28" t="s">
        <v>560</v>
      </c>
      <c r="B21" s="28"/>
      <c r="C21" s="28"/>
      <c r="D21" s="46" t="s">
        <v>559</v>
      </c>
      <c r="E21" s="46"/>
      <c r="F21" s="46"/>
    </row>
    <row r="22" spans="1:6" ht="18" customHeight="1" x14ac:dyDescent="0.55000000000000004">
      <c r="A22" s="28" t="s">
        <v>561</v>
      </c>
      <c r="B22" s="28"/>
      <c r="C22" s="28"/>
      <c r="D22" s="46" t="s">
        <v>559</v>
      </c>
      <c r="E22" s="46"/>
      <c r="F22" s="46"/>
    </row>
    <row r="23" spans="1:6" ht="18" customHeight="1" x14ac:dyDescent="0.55000000000000004">
      <c r="A23" s="28" t="s">
        <v>562</v>
      </c>
      <c r="B23" s="28"/>
      <c r="C23" s="28"/>
      <c r="D23" s="46" t="s">
        <v>559</v>
      </c>
      <c r="E23" s="46"/>
      <c r="F23" s="46"/>
    </row>
    <row r="25" spans="1:6" ht="30.75" customHeight="1" x14ac:dyDescent="0.55000000000000004">
      <c r="A25" s="34" t="s">
        <v>563</v>
      </c>
      <c r="B25" s="34"/>
      <c r="C25" s="34"/>
      <c r="D25" s="34" t="s">
        <v>564</v>
      </c>
      <c r="E25" s="34"/>
      <c r="F25" s="34"/>
    </row>
    <row r="26" spans="1:6" ht="19.5" customHeight="1" x14ac:dyDescent="0.55000000000000004">
      <c r="A26" s="27" t="s">
        <v>131</v>
      </c>
      <c r="B26" s="27"/>
      <c r="C26" s="27"/>
      <c r="D26" s="27" t="s">
        <v>131</v>
      </c>
      <c r="E26" s="27"/>
      <c r="F26" s="27"/>
    </row>
    <row r="27" spans="1:6" ht="19.5" customHeight="1" x14ac:dyDescent="0.55000000000000004">
      <c r="A27" s="27" t="s">
        <v>132</v>
      </c>
      <c r="B27" s="27"/>
      <c r="C27" s="27"/>
      <c r="D27" s="27" t="s">
        <v>132</v>
      </c>
      <c r="E27" s="27"/>
      <c r="F27" s="27"/>
    </row>
    <row r="28" spans="1:6" ht="43.5" customHeight="1" x14ac:dyDescent="0.55000000000000004">
      <c r="A28" s="32" t="s">
        <v>133</v>
      </c>
      <c r="B28" s="32"/>
      <c r="C28" s="32"/>
      <c r="D28" s="32" t="s">
        <v>133</v>
      </c>
      <c r="E28" s="32"/>
      <c r="F28" s="32"/>
    </row>
    <row r="29" spans="1:6" ht="19.5" customHeight="1" x14ac:dyDescent="0.55000000000000004">
      <c r="A29" s="27" t="s">
        <v>134</v>
      </c>
      <c r="B29" s="27"/>
      <c r="C29" s="27"/>
      <c r="D29" s="27" t="s">
        <v>134</v>
      </c>
      <c r="E29" s="27"/>
      <c r="F29" s="27"/>
    </row>
    <row r="31" spans="1:6" ht="18" customHeight="1" x14ac:dyDescent="0.55000000000000004">
      <c r="A31" s="28" t="s">
        <v>135</v>
      </c>
      <c r="B31" s="28"/>
      <c r="C31" s="28"/>
      <c r="D31" s="28"/>
      <c r="E31" s="28"/>
      <c r="F31" s="28"/>
    </row>
    <row r="32" spans="1:6" ht="30.75" customHeight="1" x14ac:dyDescent="0.55000000000000004">
      <c r="A32" s="26" t="s">
        <v>565</v>
      </c>
      <c r="B32" s="26"/>
      <c r="C32" s="26"/>
      <c r="D32" s="26"/>
      <c r="E32" s="26"/>
      <c r="F32" s="26"/>
    </row>
    <row r="33" spans="1:6" ht="30.75" customHeight="1" x14ac:dyDescent="0.55000000000000004">
      <c r="A33" s="26" t="s">
        <v>566</v>
      </c>
      <c r="B33" s="26"/>
      <c r="C33" s="26"/>
      <c r="D33" s="26"/>
      <c r="E33" s="26"/>
      <c r="F33" s="26"/>
    </row>
  </sheetData>
  <mergeCells count="48">
    <mergeCell ref="A1:B3"/>
    <mergeCell ref="C1:F1"/>
    <mergeCell ref="C2:F2"/>
    <mergeCell ref="C3:F3"/>
    <mergeCell ref="A5:F5"/>
    <mergeCell ref="A6:B6"/>
    <mergeCell ref="E6:F6"/>
    <mergeCell ref="A7:B7"/>
    <mergeCell ref="E7:F7"/>
    <mergeCell ref="A8:B8"/>
    <mergeCell ref="E8:F8"/>
    <mergeCell ref="A9:B9"/>
    <mergeCell ref="E9:F9"/>
    <mergeCell ref="A10:B10"/>
    <mergeCell ref="C10:F10"/>
    <mergeCell ref="A11:B11"/>
    <mergeCell ref="C11:F11"/>
    <mergeCell ref="A12:B12"/>
    <mergeCell ref="C12:F12"/>
    <mergeCell ref="A14:F14"/>
    <mergeCell ref="A15:B15"/>
    <mergeCell ref="E15:F15"/>
    <mergeCell ref="A16:B16"/>
    <mergeCell ref="C16:F16"/>
    <mergeCell ref="A17:B17"/>
    <mergeCell ref="E17:F17"/>
    <mergeCell ref="A19:F19"/>
    <mergeCell ref="A20:C20"/>
    <mergeCell ref="D20:F20"/>
    <mergeCell ref="A21:C21"/>
    <mergeCell ref="D21:F21"/>
    <mergeCell ref="A22:C22"/>
    <mergeCell ref="D22:F22"/>
    <mergeCell ref="A23:C23"/>
    <mergeCell ref="D23:F23"/>
    <mergeCell ref="A25:C25"/>
    <mergeCell ref="D25:F25"/>
    <mergeCell ref="A26:C26"/>
    <mergeCell ref="D26:F26"/>
    <mergeCell ref="A31:F31"/>
    <mergeCell ref="A32:F32"/>
    <mergeCell ref="A33:F33"/>
    <mergeCell ref="A27:C27"/>
    <mergeCell ref="D27:F27"/>
    <mergeCell ref="A28:C28"/>
    <mergeCell ref="D28:F28"/>
    <mergeCell ref="A29:C29"/>
    <mergeCell ref="D29:F29"/>
  </mergeCells>
  <dataValidations count="2">
    <dataValidation type="list" allowBlank="1" sqref="C8" xr:uid="{00000000-0002-0000-0F00-000000000000}">
      <formula1>"Item Request Form,Store Issuance Form,Asset Handover Record,Purchase Request Form,Goods Receipt Note (before IC verification),Loss / Write-Down Record"</formula1>
      <formula2>0</formula2>
    </dataValidation>
    <dataValidation type="list" allowBlank="1" sqref="C15" xr:uid="{00000000-0002-0000-0F00-000001000000}">
      <formula1>"Approved,Rejected"</formula1>
      <formula2>0</formula2>
    </dataValidation>
  </dataValidations>
  <pageMargins left="0.5" right="0.5" top="1" bottom="1" header="0.511811023622047" footer="0.5"/>
  <pageSetup paperSize="9" fitToHeight="0" orientation="portrait" horizontalDpi="300" verticalDpi="300"/>
  <headerFooter>
    <oddFooter>&amp;LIN-15 | Crest Point Consulting Group&amp;CPage &amp;P of &amp;N&amp;RStrictly Confidential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IN-01 Item Request</vt:lpstr>
      <vt:lpstr>IN-02 Store Issuance</vt:lpstr>
      <vt:lpstr>IN-03 Asset Handover</vt:lpstr>
      <vt:lpstr>IN-04 Purchase Request</vt:lpstr>
      <vt:lpstr>IN-05 Goods Receipt Note</vt:lpstr>
      <vt:lpstr>IN-06 IC GRN Verification</vt:lpstr>
      <vt:lpstr>IN-07 Fixed Asset Entry</vt:lpstr>
      <vt:lpstr>IN-08 Depreciation Rate Change</vt:lpstr>
      <vt:lpstr>IN-09 Loss &amp; Write-Down</vt:lpstr>
      <vt:lpstr>IN-10 Item Master</vt:lpstr>
      <vt:lpstr>IN-11 Stock Level &amp; Alerts</vt:lpstr>
      <vt:lpstr>IN-12 Approval Matrix</vt:lpstr>
      <vt:lpstr>IN-13 Accounting Entries</vt:lpstr>
      <vt:lpstr>IN-14 Reports Spec</vt:lpstr>
      <vt:lpstr>IN-15 Correction Request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Fayaz Yasini;Crest_Point1</dc:creator>
  <dc:description/>
  <cp:lastModifiedBy>Fayaz Yasini</cp:lastModifiedBy>
  <cp:revision>0</cp:revision>
  <dcterms:created xsi:type="dcterms:W3CDTF">2026-10-14T04:37:51Z</dcterms:created>
  <dcterms:modified xsi:type="dcterms:W3CDTF">2026-10-16T12:43:15Z</dcterms:modified>
  <dc:language>en-US</dc:language>
</cp:coreProperties>
</file>