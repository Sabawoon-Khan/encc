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ayaz Yasini\Downloads\Forms\"/>
    </mc:Choice>
  </mc:AlternateContent>
  <xr:revisionPtr revIDLastSave="0" documentId="13_ncr:1_{9C36E3A4-49C5-4BAF-A845-DE6EDF7DC7DC}" xr6:coauthVersionLast="47" xr6:coauthVersionMax="47" xr10:uidLastSave="{00000000-0000-0000-0000-000000000000}"/>
  <bookViews>
    <workbookView xWindow="-96" yWindow="-96" windowWidth="23232" windowHeight="13872" tabRatio="500" xr2:uid="{00000000-000D-0000-FFFF-FFFF00000000}"/>
  </bookViews>
  <sheets>
    <sheet name="Index" sheetId="1" r:id="rId1"/>
    <sheet name="FA-01 Payment Voucher (PV)" sheetId="2" r:id="rId2"/>
    <sheet name="FA-02 Receipt Voucher (RV)" sheetId="3" r:id="rId3"/>
    <sheet name="FA-03 Journal Voucher (JV)" sheetId="4" r:id="rId4"/>
    <sheet name="FA-04 Voucher Data Fields" sheetId="5" r:id="rId5"/>
    <sheet name="FA-05 Bank Stmt Import" sheetId="6" r:id="rId6"/>
    <sheet name="FA-06 Bank Reconciliation" sheetId="7" r:id="rId7"/>
    <sheet name="FA-07 Bulk Import" sheetId="8" r:id="rId8"/>
    <sheet name="FA-08 Revenue Recognition" sheetId="9" r:id="rId9"/>
    <sheet name="FA-09 Purchase Budget Check" sheetId="10" r:id="rId10"/>
    <sheet name="FA-10 IC Verification" sheetId="11" r:id="rId11"/>
    <sheet name="FA-11 Correction Request" sheetId="12" r:id="rId12"/>
    <sheet name="FA-12 Fiscal Periods" sheetId="13" r:id="rId13"/>
    <sheet name="FA-13 Period-End Closing" sheetId="14" r:id="rId14"/>
    <sheet name="FA-14 Chart of Accounts" sheetId="15" r:id="rId15"/>
    <sheet name="FA-15 Accounting Entries" sheetId="16" r:id="rId16"/>
    <sheet name="FA-16 Report Standard" sheetId="17" r:id="rId17"/>
    <sheet name="FA-17 Reports Spec" sheetId="18" r:id="rId18"/>
    <sheet name="FA-18 Control Log"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6" i="17" l="1"/>
  <c r="C26" i="17"/>
  <c r="A27" i="17" s="1"/>
  <c r="I39" i="15"/>
  <c r="I38" i="15"/>
  <c r="I37" i="15"/>
  <c r="I36" i="15"/>
  <c r="I35" i="15"/>
  <c r="I34" i="15"/>
  <c r="I33" i="15"/>
  <c r="I32" i="15"/>
  <c r="I31" i="15"/>
  <c r="I30" i="15"/>
  <c r="I29" i="15"/>
  <c r="I28" i="15"/>
  <c r="I27" i="15"/>
  <c r="I26" i="15"/>
  <c r="I25" i="15"/>
  <c r="I24" i="15"/>
  <c r="I23" i="15"/>
  <c r="I22" i="15"/>
  <c r="I21" i="15"/>
  <c r="I20" i="15"/>
  <c r="I19" i="15"/>
  <c r="I18" i="15"/>
  <c r="I17" i="15"/>
  <c r="I16" i="15"/>
  <c r="I15" i="15"/>
  <c r="I14" i="15"/>
  <c r="I13" i="15"/>
  <c r="I12" i="15"/>
  <c r="I11" i="15"/>
  <c r="I10" i="15"/>
  <c r="I9" i="15"/>
  <c r="I8" i="15"/>
  <c r="I7" i="15"/>
  <c r="E14" i="14"/>
  <c r="G17" i="13"/>
  <c r="G16" i="13"/>
  <c r="G15" i="13"/>
  <c r="G14" i="13"/>
  <c r="G13" i="13"/>
  <c r="G12" i="13"/>
  <c r="G11" i="13"/>
  <c r="G10" i="13"/>
  <c r="G9" i="13"/>
  <c r="G8" i="13"/>
  <c r="G7" i="13"/>
  <c r="G6" i="13"/>
  <c r="C18" i="11"/>
  <c r="C13" i="10"/>
  <c r="E13" i="10" s="1"/>
  <c r="D15" i="9"/>
  <c r="D13" i="9"/>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D35" i="7"/>
  <c r="D34" i="7"/>
  <c r="D33" i="7"/>
  <c r="D32" i="7"/>
  <c r="E32" i="7" s="1"/>
  <c r="I29" i="7"/>
  <c r="H29" i="7"/>
  <c r="I28" i="7"/>
  <c r="H28" i="7"/>
  <c r="I27" i="7"/>
  <c r="H27" i="7"/>
  <c r="I26" i="7"/>
  <c r="H26" i="7"/>
  <c r="I25" i="7"/>
  <c r="H25" i="7"/>
  <c r="I24" i="7"/>
  <c r="H24" i="7"/>
  <c r="I23" i="7"/>
  <c r="H23" i="7"/>
  <c r="I22" i="7"/>
  <c r="H22" i="7"/>
  <c r="I21" i="7"/>
  <c r="H21" i="7"/>
  <c r="I20" i="7"/>
  <c r="H20" i="7"/>
  <c r="I19" i="7"/>
  <c r="H19" i="7"/>
  <c r="I18" i="7"/>
  <c r="H18" i="7"/>
  <c r="I17" i="7"/>
  <c r="H17" i="7"/>
  <c r="I16" i="7"/>
  <c r="H16" i="7"/>
  <c r="I15" i="7"/>
  <c r="H15" i="7"/>
  <c r="I14" i="7"/>
  <c r="H14" i="7"/>
  <c r="I13" i="7"/>
  <c r="H13" i="7"/>
  <c r="I12" i="7"/>
  <c r="H12" i="7"/>
  <c r="I11" i="7"/>
  <c r="H11" i="7"/>
  <c r="I10" i="7"/>
  <c r="H10" i="7"/>
  <c r="F19" i="4"/>
  <c r="E19" i="4"/>
  <c r="A20" i="4" s="1"/>
  <c r="F20" i="3"/>
  <c r="E20" i="3"/>
  <c r="A21" i="3" s="1"/>
  <c r="F20" i="2"/>
  <c r="E20" i="2"/>
  <c r="A21" i="2" s="1"/>
  <c r="D23" i="9" l="1"/>
  <c r="D16" i="9"/>
  <c r="D22" i="9" s="1"/>
  <c r="D24" i="9" s="1"/>
  <c r="D47" i="8"/>
  <c r="D48" i="8"/>
  <c r="E47" i="8" s="1"/>
</calcChain>
</file>

<file path=xl/sharedStrings.xml><?xml version="1.0" encoding="utf-8"?>
<sst xmlns="http://schemas.openxmlformats.org/spreadsheetml/2006/main" count="1373" uniqueCount="749">
  <si>
    <t>NORTH COAL STATE OWNED CORPORATION</t>
  </si>
  <si>
    <t>ERP FORMS &amp; STANDARD TEMPLATES - FINANCE AND ACCOUNTING MODULE</t>
  </si>
  <si>
    <t>COLOUR LEGEND</t>
  </si>
  <si>
    <t>Yellow</t>
  </si>
  <si>
    <t>Field entered by a user (blue text = example data shown for illustration)</t>
  </si>
  <si>
    <t>Grey</t>
  </si>
  <si>
    <t>Auto-populated / auto-calculated by the system</t>
  </si>
  <si>
    <t>Light grey</t>
  </si>
  <si>
    <t>Not applicable on this form (shown as N/A)</t>
  </si>
  <si>
    <t>Navy</t>
  </si>
  <si>
    <t>Section / column headers and signature-block titles</t>
  </si>
  <si>
    <t>Form Code</t>
  </si>
  <si>
    <t>Sheet (click to open)</t>
  </si>
  <si>
    <t>Purpose</t>
  </si>
  <si>
    <t>Source in approved report</t>
  </si>
  <si>
    <t>FA-01</t>
  </si>
  <si>
    <t>FA-01 Payment Voucher (PV)</t>
  </si>
  <si>
    <t>Printable PV with Prepared by / Reviewed by / Verified by (Internal Control) footer</t>
  </si>
  <si>
    <t>4.1.2 Voucher Management; 4.1.4</t>
  </si>
  <si>
    <t>FA-02</t>
  </si>
  <si>
    <t>FA-02 Receipt Voucher (RV)</t>
  </si>
  <si>
    <t>Printable RV with the same three-block footer</t>
  </si>
  <si>
    <t>4.1.2; 4.1.4</t>
  </si>
  <si>
    <t>FA-03</t>
  </si>
  <si>
    <t>FA-03 Journal Voucher (JV)</t>
  </si>
  <si>
    <t>Printable JV (non-cash adjustments, depreciation, corrections, transfers) with balance check</t>
  </si>
  <si>
    <t>FA-04</t>
  </si>
  <si>
    <t>FA-04 Voucher Data Fields</t>
  </si>
  <si>
    <t>Field dictionary: type, source, mandatory, validation for all vouchers</t>
  </si>
  <si>
    <t>4.1.4 Required Data Fields - Vouchers</t>
  </si>
  <si>
    <t>FA-05</t>
  </si>
  <si>
    <t>FA-05 Bank Stmt Import</t>
  </si>
  <si>
    <t>Standardized Excel/CSV column template for bank statements</t>
  </si>
  <si>
    <t>4.1.2 Bank Account Integration, Method 1</t>
  </si>
  <si>
    <t>FA-06</t>
  </si>
  <si>
    <t>FA-06 Bank Reconciliation</t>
  </si>
  <si>
    <t>Reconciliation screen: matching, auto-posting entries, live unreconciled counter, closing block</t>
  </si>
  <si>
    <t>4.1.2 Reconciliation &amp; Posting; 4.1.4</t>
  </si>
  <si>
    <t>FA-07</t>
  </si>
  <si>
    <t>FA-07 Bulk Import</t>
  </si>
  <si>
    <t>Bulk transaction import template with row-level validation</t>
  </si>
  <si>
    <t>4.1.2 Bulk Transaction Import</t>
  </si>
  <si>
    <t>FA-08</t>
  </si>
  <si>
    <t>FA-08 Revenue Recognition</t>
  </si>
  <si>
    <t>Auto-generated revenue entry from the weighing-system dispatch record</t>
  </si>
  <si>
    <t>4.1.2; 4.1.4 Revenue Recognition Entry</t>
  </si>
  <si>
    <t>FA-09</t>
  </si>
  <si>
    <t>FA-09 Purchase Budget Check</t>
  </si>
  <si>
    <t>Budget check notification and ED-override reference record</t>
  </si>
  <si>
    <t>4.1.2 Purchase Cycle Budget Control</t>
  </si>
  <si>
    <t>FA-10</t>
  </si>
  <si>
    <t>FA-10 IC Verification</t>
  </si>
  <si>
    <t>Internal Control verification record for final payments (Verify / Reject)</t>
  </si>
  <si>
    <t>4.1.2 Purchase Cycle &amp; Payables; 3.1</t>
  </si>
  <si>
    <t>FA-11</t>
  </si>
  <si>
    <t>FA-11 Correction Request</t>
  </si>
  <si>
    <t>Standard Officer correction request and Department Head decision (all modules)</t>
  </si>
  <si>
    <t>3.1 Correction Protocol; 4.1.2</t>
  </si>
  <si>
    <t>FA-12</t>
  </si>
  <si>
    <t>FA-12 Fiscal Periods</t>
  </si>
  <si>
    <t>Fiscal year and period configuration with Open / Close / Re-open status</t>
  </si>
  <si>
    <t>4.1.2 Fiscal Year and Financial Period</t>
  </si>
  <si>
    <t>FA-13</t>
  </si>
  <si>
    <t>FA-13 Period-End Closing</t>
  </si>
  <si>
    <t>Closing checklist and re-open protocol log</t>
  </si>
  <si>
    <t>4.1.5 Workflow 5</t>
  </si>
  <si>
    <t>FA-14</t>
  </si>
  <si>
    <t>FA-14 Chart of Accounts</t>
  </si>
  <si>
    <t>Account creation template with mandatory Direct/Indirect classification</t>
  </si>
  <si>
    <t>4.1.2 Chart of Accounts</t>
  </si>
  <si>
    <t>FA-15</t>
  </si>
  <si>
    <t>FA-15 Accounting Entries</t>
  </si>
  <si>
    <t>Developer reference of automatic background entries</t>
  </si>
  <si>
    <t>4.1.4 Accounting Entries - Developer Reference</t>
  </si>
  <si>
    <t>FA-16</t>
  </si>
  <si>
    <t>FA-16 Report Standard</t>
  </si>
  <si>
    <t>Standard header/footer for every report, shown with a Trial Balance example</t>
  </si>
  <si>
    <t>4.1.4 Required Reports</t>
  </si>
  <si>
    <t>FA-17</t>
  </si>
  <si>
    <t>FA-17 Reports Spec</t>
  </si>
  <si>
    <t>List of required Finance reports with frequency and filters</t>
  </si>
  <si>
    <t>FA-18</t>
  </si>
  <si>
    <t>FA-18 Control Log</t>
  </si>
  <si>
    <t>Standard audit-trail layout (User ID, timestamp, action)</t>
  </si>
  <si>
    <t>3.1 Control Log</t>
  </si>
  <si>
    <t>DESIGN RULES THAT APPLY TO EVERY FORM</t>
  </si>
  <si>
    <t>1. Single currency: Afghan Afghani (AFN) only. No multi-currency or exchange-rate conversion.</t>
  </si>
  <si>
    <t>2. Executive Director and Directors have NO system access. Their approvals are physical, filed in hard copy, and recorded as confirmation entries by department staff. Printed forms therefore carry no ED / Director signature block.</t>
  </si>
  <si>
    <t>3. Voucher footer: Prepared by (Finance Officer), Reviewed by (Finance Department Head), Verified by (Internal Control &amp; Audit). Verified-by applies where IC verification is required (final payments and payroll in Finance); otherwise it prints N/A.</t>
  </si>
  <si>
    <t>4. Officers (Level 3) can never edit or delete a submitted entry; corrections follow FA-11. Every action is written to the Control Log (FA-18), which no user can alter.</t>
  </si>
  <si>
    <t>5. Debits must equal Credits on every transaction; unbalanced entries are hard-blocked. Voucher dates cannot be backdated beyond the current open period.</t>
  </si>
  <si>
    <t>6. Every ledger transaction - manual, system-generated or bulk-imported - must have a viewable, printable voucher for hard-copy archiving with attached physical documents.</t>
  </si>
  <si>
    <t>7. Chart of accounts and fiscal periods are configured by Finance after deployment. Codes, names, dates and amounts in these sheets are illustrative examples only.</t>
  </si>
  <si>
    <t>[Corporation logo]</t>
  </si>
  <si>
    <t>PAYMENT VOUCHER (PV)</t>
  </si>
  <si>
    <t>Form FA-01 PV  |  Version 1.0  |  Amounts in AFN</t>
  </si>
  <si>
    <t>Voucher No.</t>
  </si>
  <si>
    <t>PV-000125</t>
  </si>
  <si>
    <t>Voucher Date</t>
  </si>
  <si>
    <t>Voucher Type</t>
  </si>
  <si>
    <t>Payment Voucher (PV)</t>
  </si>
  <si>
    <t>Second Unit / HQ</t>
  </si>
  <si>
    <t>HQ</t>
  </si>
  <si>
    <t>Payment Method</t>
  </si>
  <si>
    <t>Bank Transfer</t>
  </si>
  <si>
    <t>Bank / Cash Account</t>
  </si>
  <si>
    <t>1130 - Bank - Expense Account</t>
  </si>
  <si>
    <t>Paid To (Type)</t>
  </si>
  <si>
    <t>Supplier</t>
  </si>
  <si>
    <t>Paid To (Name)</t>
  </si>
  <si>
    <t>Example Supplier Co.</t>
  </si>
  <si>
    <t>Reference Document</t>
  </si>
  <si>
    <t>PO-2026-0045 / Invoice INV-8841</t>
  </si>
  <si>
    <t>Real-Time Budget Check</t>
  </si>
  <si>
    <t>Budget available</t>
  </si>
  <si>
    <t>Status</t>
  </si>
  <si>
    <t>Pending IC Verification</t>
  </si>
  <si>
    <t>IC Verification</t>
  </si>
  <si>
    <t>Pending</t>
  </si>
  <si>
    <t>Entry Source</t>
  </si>
  <si>
    <t>Manual</t>
  </si>
  <si>
    <t>Print Voucher</t>
  </si>
  <si>
    <t>[Print PDF] action button</t>
  </si>
  <si>
    <t>No.</t>
  </si>
  <si>
    <t>Account Code</t>
  </si>
  <si>
    <t>Account Name</t>
  </si>
  <si>
    <t>Description</t>
  </si>
  <si>
    <t>Debit (AFN)</t>
  </si>
  <si>
    <t>Credit (AFN)</t>
  </si>
  <si>
    <t>Accounts Payable</t>
  </si>
  <si>
    <t>Payment to supplier - PO-2026-0045</t>
  </si>
  <si>
    <t>Bank - Expense Account</t>
  </si>
  <si>
    <t>Opposing entry auto-posted by system</t>
  </si>
  <si>
    <t>TOTAL</t>
  </si>
  <si>
    <t>Amount in Words</t>
  </si>
  <si>
    <t>Eighty-five thousand Afghanis only  (system-generated from Amount)</t>
  </si>
  <si>
    <t>Description / Narration
(minimum 10 characters)</t>
  </si>
  <si>
    <t>Final payment of supplier invoice INV-8841 against PO-2026-0045; goods receipt (GRN) verified by Internal Control. EXAMPLE DATA.</t>
  </si>
  <si>
    <t>Supporting Documents Attached</t>
  </si>
  <si>
    <t>[X] Supplier invoice   [X] Goods Receipt Note   [X] Purchase Order   [ ] Bank deposit slip   [X] Physical approvals   [ ] Other</t>
  </si>
  <si>
    <t>Internal Control Comments
(mandatory if Rejected)</t>
  </si>
  <si>
    <t>PREPARED BY
(Finance Officer)</t>
  </si>
  <si>
    <t>REVIEWED BY
(Finance Department Head)</t>
  </si>
  <si>
    <t>VERIFIED BY
(Internal Control &amp; Audit)</t>
  </si>
  <si>
    <t>Name:</t>
  </si>
  <si>
    <t>Position:</t>
  </si>
  <si>
    <t>Signature:</t>
  </si>
  <si>
    <t>Date:</t>
  </si>
  <si>
    <t>NOTES FOR DEVELOPERS</t>
  </si>
  <si>
    <t>1. Executive Director / Director approvals are obtained outside the system on the physical file and recorded as confirmation entries by department staff. There is no ED / Director signature block on this form.</t>
  </si>
  <si>
    <t>2. Name, position and date may be pre-filled by the system from the Control Log; signatures are by hand so the printed voucher can be archived in the hard file. The "Verified by" block prints only where Internal Control verification applies to the transaction; otherwise it prints "N/A - IC verification not required".</t>
  </si>
  <si>
    <t>3. Physical supporting documents (vendor invoices, bank deposit slips, physical approvals) are attached/stapled to the printed voucher and archived in hard files for external audit.</t>
  </si>
  <si>
    <t>4. Voucher date cannot be backdated beyond the current open period; no override. Voucher numbers are sequential and not editable.</t>
  </si>
  <si>
    <t>5. For PVs the Officer selects the paying Bank/Cash account and the account being paid; the system builds Debit [selected account] / Credit [Bank/Cash account] automatically. Final payments require Internal Control verification BEFORE the PV is processed (Pending / Verified / Rejected).</t>
  </si>
  <si>
    <t>6. A "Create New" quick-add for Supplier / Customer must be available on the Paid To field.</t>
  </si>
  <si>
    <t>RECEIPT VOUCHER (RV)</t>
  </si>
  <si>
    <t>Form FA-02 RV  |  Version 1.0  |  Amounts in AFN</t>
  </si>
  <si>
    <t>RV-000341</t>
  </si>
  <si>
    <t>Receipt Voucher (RV)</t>
  </si>
  <si>
    <t>Receipt Method</t>
  </si>
  <si>
    <t>1120 - Bank - Revenue Collection Account</t>
  </si>
  <si>
    <t>Received From (Type)</t>
  </si>
  <si>
    <t>Customer</t>
  </si>
  <si>
    <t>Received From (Name)</t>
  </si>
  <si>
    <t>Example Customer Ltd</t>
  </si>
  <si>
    <t>Tariff Slip TS-000312 / Bank slip BS-5521</t>
  </si>
  <si>
    <t>N/A (PV only)</t>
  </si>
  <si>
    <t>Submitted</t>
  </si>
  <si>
    <t>N/A (final payments &amp; payroll only)</t>
  </si>
  <si>
    <t>Bank - Revenue Collection Account</t>
  </si>
  <si>
    <t>Customer Advance (Current Liability)</t>
  </si>
  <si>
    <t>Advance payment against Tariff Slip TS-000312</t>
  </si>
  <si>
    <t>Two million five hundred thousand Afghanis only  (system-generated from Amount)</t>
  </si>
  <si>
    <t>Customer advance received against Tariff Slip TS-000312; deposit confirmed in bank reconciliation. EXAMPLE DATA.</t>
  </si>
  <si>
    <t>[X] Bank deposit slip   [X] Tariff slip   [ ] Supplier invoice   [X] Physical approvals   [ ] Other</t>
  </si>
  <si>
    <t>5. For RVs the Officer selects the receiving Bank/Cash account and the Revenue / Liability / Asset account being credited; the system builds Debit [Bank/Cash] / Credit [selected account] automatically.</t>
  </si>
  <si>
    <t>6. Customer cash received is first recorded as Customer Advance (Current Liability); revenue is recognized only on physical coal dispatch (see FA-08).</t>
  </si>
  <si>
    <t>JOURNAL VOUCHER (JV)</t>
  </si>
  <si>
    <t>Form FA-03 JV  |  Version 1.0  |  Amounts in AFN</t>
  </si>
  <si>
    <t>JV-000058</t>
  </si>
  <si>
    <t>Journal Voucher (JV)</t>
  </si>
  <si>
    <t>Paid To / Received From</t>
  </si>
  <si>
    <t>N/A</t>
  </si>
  <si>
    <t>Depreciation schedule - Oct 2026</t>
  </si>
  <si>
    <t>Depreciation Expense</t>
  </si>
  <si>
    <t>Monthly depreciation - Motor Vehicles</t>
  </si>
  <si>
    <t>Accumulated Depreciation</t>
  </si>
  <si>
    <t>Forty-five thousand Afghanis only  (system-generated from Amount)</t>
  </si>
  <si>
    <t>Monthly depreciation posting for Motor Vehicles, October 2026. EXAMPLE DATA.</t>
  </si>
  <si>
    <t>[X] Depreciation schedule   [ ] Supplier invoice   [ ] Physical approvals   [ ] Other</t>
  </si>
  <si>
    <t>5. JVs are used for non-cash adjustments, depreciation postings, corrections and internal transfers between accounts. The Officer selects Debit and Credit accounts manually (multiple lines allowed).</t>
  </si>
  <si>
    <t>6. Paid To / Received From, Bank Account and Payment Method are hidden or marked N/A on JVs.</t>
  </si>
  <si>
    <t>7. System check: total Debits must equal total Credits; otherwise the submission is hard-blocked and cannot post.</t>
  </si>
  <si>
    <t>REQUIRED DATA FIELDS - VOUCHERS</t>
  </si>
  <si>
    <t>Applies to all manually created, system-generated and bulk-imported vouchers</t>
  </si>
  <si>
    <t>#</t>
  </si>
  <si>
    <t>Field</t>
  </si>
  <si>
    <t>Type</t>
  </si>
  <si>
    <t>Applies To</t>
  </si>
  <si>
    <t>Source</t>
  </si>
  <si>
    <t>Mandatory</t>
  </si>
  <si>
    <t>Validation / Notes</t>
  </si>
  <si>
    <t>Voucher Number</t>
  </si>
  <si>
    <t>Auto-generated</t>
  </si>
  <si>
    <t>PV / RV / JV</t>
  </si>
  <si>
    <t>System</t>
  </si>
  <si>
    <t>Yes</t>
  </si>
  <si>
    <t>Sequential - not editable.</t>
  </si>
  <si>
    <t>Date picker</t>
  </si>
  <si>
    <t>User</t>
  </si>
  <si>
    <t>System strictly prevents backdating beyond the current open period. No override allowed.</t>
  </si>
  <si>
    <t>Dropdown</t>
  </si>
  <si>
    <t>Payment Voucher (PV) / Receipt Voucher (RV) / Journal Voucher (JV).</t>
  </si>
  <si>
    <t>Auto-populated</t>
  </si>
  <si>
    <t>Based on the logged-in user's unit assignment.</t>
  </si>
  <si>
    <t>Account Code(s)</t>
  </si>
  <si>
    <t>Linked to chart of accounts. Opposing entries are auto-posted for PVs and RVs.</t>
  </si>
  <si>
    <t>Amount (AFN)</t>
  </si>
  <si>
    <t>Numeric</t>
  </si>
  <si>
    <t>Must balance (Debits = Credits). Real-time budget check on entry for PVs.</t>
  </si>
  <si>
    <t>Dropdown / Search</t>
  </si>
  <si>
    <t>PV / RV</t>
  </si>
  <si>
    <t>Yes (PV, RV)</t>
  </si>
  <si>
    <t>Linked to Suppliers, Customers, Employees, Other. Includes "Create New" quick-add. Marked N/A for JVs.</t>
  </si>
  <si>
    <t>Payment / Receipt Method</t>
  </si>
  <si>
    <t>Cash / Bank Transfer / Cheque. Marked N/A for JVs.</t>
  </si>
  <si>
    <t>Pre-loaded authorized accounts only. Marked N/A for JVs.</t>
  </si>
  <si>
    <t>Description / Narration</t>
  </si>
  <si>
    <t>Text area</t>
  </si>
  <si>
    <t>Minimum 10 characters.</t>
  </si>
  <si>
    <t>Internal Control Verification</t>
  </si>
  <si>
    <t>PV (final payments), Payroll</t>
  </si>
  <si>
    <t>n/a</t>
  </si>
  <si>
    <t>Pending / Verified / Rejected. Active for Final Payments and Payroll only.</t>
  </si>
  <si>
    <t>Action button</t>
  </si>
  <si>
    <t>Generates printable PDF with signature blocks for hard-copy archiving. Available for manual, automated and bulk-imported entries.</t>
  </si>
  <si>
    <t>Draft / Submitted / Under Review / Approved / Pending IC Verification / Fully Complete.</t>
  </si>
  <si>
    <t>Dropdown (system-set)</t>
  </si>
  <si>
    <t>Manual / Automated (triggered by another module, e.g. bank reconciliation, weighing system, payroll) / Bulk import. Ensures every ledger transaction has a viewable, printable voucher.</t>
  </si>
  <si>
    <t>Signature block - Prepared by</t>
  </si>
  <si>
    <t>Print block</t>
  </si>
  <si>
    <t>System + hand</t>
  </si>
  <si>
    <t>Finance Officer. Name, position, date and signature.</t>
  </si>
  <si>
    <t>Signature block - Reviewed by</t>
  </si>
  <si>
    <t>Finance Department Head. Name, position, date and signature.</t>
  </si>
  <si>
    <t>Signature block - Verified by</t>
  </si>
  <si>
    <t>Where IC applies</t>
  </si>
  <si>
    <t>Internal Control &amp; Audit. Prints N/A where IC verification is not required.</t>
  </si>
  <si>
    <t>ED / Director approval</t>
  </si>
  <si>
    <t>Not on voucher</t>
  </si>
  <si>
    <t>-</t>
  </si>
  <si>
    <t>Obtained outside the system and recorded as a confirmation entry; deliberately NOT a block on the printed voucher.</t>
  </si>
  <si>
    <t>BANK STATEMENT IMPORT TEMPLATE (EXCEL / CSV)</t>
  </si>
  <si>
    <t>Method 1 - Standardized Excel and CSV import &amp; mapping</t>
  </si>
  <si>
    <t>Finance Officer aligns the bank file to these exact columns BEFORE upload. If the mapping format is incorrect, the system rejects the file.</t>
  </si>
  <si>
    <t>Date</t>
  </si>
  <si>
    <t>Debit Amount (AFN)</t>
  </si>
  <si>
    <t>Credit Amount (AFN)</t>
  </si>
  <si>
    <t>Running Balance (AFN)</t>
  </si>
  <si>
    <t>COLUMN RULES</t>
  </si>
  <si>
    <t>Deposit - Example Customer Ltd - TS-000312</t>
  </si>
  <si>
    <t>Date: calendar date (one per row).</t>
  </si>
  <si>
    <t>Deposit - Example Customer 2 - TS-000318</t>
  </si>
  <si>
    <t>Description: free text from the bank.</t>
  </si>
  <si>
    <t>Deposit - Example Supplier Co. security deposit</t>
  </si>
  <si>
    <t>Debit Amount: payments out of the account.</t>
  </si>
  <si>
    <t>Deposit - unidentified depositor</t>
  </si>
  <si>
    <t>Credit Amount: deposits into the account.</t>
  </si>
  <si>
    <t>Transfer to expense account</t>
  </si>
  <si>
    <t>Running Balance: bank-reported balance after the row.</t>
  </si>
  <si>
    <t>Example rows (yellow, blue text) show the expected format only; delete before use.</t>
  </si>
  <si>
    <t>Imported rows are held in Pending Reconciliation - nothing posts to the ledger until the Finance Officer matches each row (see FA-06).</t>
  </si>
  <si>
    <t>BANK STATEMENT RECONCILIATION</t>
  </si>
  <si>
    <t>Importing a statement posts nothing - entries post only when the Finance Officer confirms each match</t>
  </si>
  <si>
    <t>Bank Account</t>
  </si>
  <si>
    <t>Revenue Collection Account</t>
  </si>
  <si>
    <t>Import Method</t>
  </si>
  <si>
    <t>Excel or CSV Upload</t>
  </si>
  <si>
    <t>Statement Period (From)</t>
  </si>
  <si>
    <t>Statement Period (To)</t>
  </si>
  <si>
    <t>Reconciliation Ref</t>
  </si>
  <si>
    <t>BR-2026-10-REV</t>
  </si>
  <si>
    <t>In progress</t>
  </si>
  <si>
    <t>Transaction Date</t>
  </si>
  <si>
    <t>Debit (AFN)
Payments</t>
  </si>
  <si>
    <t>Credit (AFN)
Deposits</t>
  </si>
  <si>
    <t>Match Type</t>
  </si>
  <si>
    <t>Matched To (Reference)</t>
  </si>
  <si>
    <t>Accounting Entry (auto-posted on confirmed match)</t>
  </si>
  <si>
    <t>Reconciliation Status</t>
  </si>
  <si>
    <t>Customer deposit</t>
  </si>
  <si>
    <t>TS-000312 / SO-0187</t>
  </si>
  <si>
    <t>TS-000318 / SO-0191</t>
  </si>
  <si>
    <t>Supplier security deposit</t>
  </si>
  <si>
    <t>Contract CT-2026-014</t>
  </si>
  <si>
    <t>Internal transfer (JV)</t>
  </si>
  <si>
    <t>JV-000057</t>
  </si>
  <si>
    <t>LIVE UNRECONCILED COUNTER (shown on Finance dashboard)</t>
  </si>
  <si>
    <t>PERIOD-END RULE</t>
  </si>
  <si>
    <t>Number of unreconciled transactions</t>
  </si>
  <si>
    <t>Total value of unreconciled transactions (AFN)</t>
  </si>
  <si>
    <t>Matched deposits (AFN)</t>
  </si>
  <si>
    <t>Unmatched items are flagged Unreconciled and an automatic notification goes to the Finance Department Head, who must resolve or formally address them.</t>
  </si>
  <si>
    <t>Matched payments (AFN)</t>
  </si>
  <si>
    <t>REVIEWED / APPROVED BY
(Finance Department Head)</t>
  </si>
  <si>
    <t>1. Deposits: Officer identifies the customer and sales order, confirms the match, and only then does the system post Dr Bank / Cr Customer Advance.</t>
  </si>
  <si>
    <t>2. Payments: Officer identifies the approved purchase order or expense record, confirms the match, and only then does the system post Dr Relevant Purchase or Expense Account / Cr Bank Account.</t>
  </si>
  <si>
    <t>3. Finance Department Head approval is required before the reconciliation period is closed. Direct Bank Integration (Method 2) feeds the same screen and the same review process.</t>
  </si>
  <si>
    <t>4. Executive Director / Director approvals are obtained outside the system on the physical file and recorded as confirmation entries by department staff. There is no ED / Director signature block on this form.</t>
  </si>
  <si>
    <t>BULK TRANSACTION IMPORT TEMPLATE (EXCEL / CSV)</t>
  </si>
  <si>
    <t>Each row validated against predefined rules before anything is committed to the ledger</t>
  </si>
  <si>
    <t>Entry Ref</t>
  </si>
  <si>
    <t>Row Validation (system)</t>
  </si>
  <si>
    <t>E-001</t>
  </si>
  <si>
    <t>PV</t>
  </si>
  <si>
    <t>Purchase of office stationery - Invoice 8841</t>
  </si>
  <si>
    <t>E-002</t>
  </si>
  <si>
    <t>JV</t>
  </si>
  <si>
    <t>Monthly depreciation - accumulated upload</t>
  </si>
  <si>
    <t>E-003</t>
  </si>
  <si>
    <t>RV</t>
  </si>
  <si>
    <t>Unit A</t>
  </si>
  <si>
    <t>Customer advance - Tariff Slip TS-000318</t>
  </si>
  <si>
    <t>E-004</t>
  </si>
  <si>
    <t>Salary accrual correction - single line (EXAMPLE ERROR)</t>
  </si>
  <si>
    <t>E-005</t>
  </si>
  <si>
    <t>Local shop</t>
  </si>
  <si>
    <t>Cash</t>
  </si>
  <si>
    <t>Fuel</t>
  </si>
  <si>
    <t>Rows OK</t>
  </si>
  <si>
    <t>Rows flagged</t>
  </si>
  <si>
    <t>1. Particularly important for Second Units uploading accumulated transactions after periods of limited connectivity.</t>
  </si>
  <si>
    <t>2. For PV/RV rows one account line is supplied; the system posts the opposing Bank/Cash side. For JV rows, all lines sharing an Entry Ref must balance.</t>
  </si>
  <si>
    <t>3. Each imported batch generates viewable, printable vouchers (PV / RV / JV) and is listed in the Bulk Import Log report (accepted, flagged and rejected rows).</t>
  </si>
  <si>
    <t>4. Example rows E-004 and E-005 are intentionally invalid to show validation messages. Validation rules shown are the minimum from the approved design; the system may add further rules (e.g. closed-period dates).</t>
  </si>
  <si>
    <t>REVENUE RECOGNITION ENTRY (AUTO-GENERATED)</t>
  </si>
  <si>
    <t>Created from the weighing-system dispatch record - posted automatically, no manual entry</t>
  </si>
  <si>
    <t>Example Value</t>
  </si>
  <si>
    <t>Notes</t>
  </si>
  <si>
    <t>Entry Reference</t>
  </si>
  <si>
    <t>REV-2026-004517</t>
  </si>
  <si>
    <t>Linked to the weighing-system dispatch record.</t>
  </si>
  <si>
    <t>Second Unit</t>
  </si>
  <si>
    <t>Mining Site A</t>
  </si>
  <si>
    <t>Source Second Unit (mining sites only).</t>
  </si>
  <si>
    <t>Customer Name</t>
  </si>
  <si>
    <t>From approved sales order.</t>
  </si>
  <si>
    <t>Approval Letter Reference</t>
  </si>
  <si>
    <t>Auto-linked</t>
  </si>
  <si>
    <t>CAL-000412</t>
  </si>
  <si>
    <t>From Sales module (Coal Allocation Authorization).</t>
  </si>
  <si>
    <t>Total Approved Qty (tonnes)</t>
  </si>
  <si>
    <t>From approved allocation letter.</t>
  </si>
  <si>
    <t>Prev Dispatched Qty (tonnes)</t>
  </si>
  <si>
    <t>Cumulative from prior dispatches.</t>
  </si>
  <si>
    <t>Qty Dispatched (tonnes)</t>
  </si>
  <si>
    <t>From weighing system.</t>
  </si>
  <si>
    <t>Remaining Entitlement (tonnes)</t>
  </si>
  <si>
    <t>Auto-calculated</t>
  </si>
  <si>
    <t>Total Approved minus Total Dispatched to date.</t>
  </si>
  <si>
    <t>Approved Unit Price (AFN per tonne)</t>
  </si>
  <si>
    <t>From the tariff slip / approved tariff schedule. EXAMPLE VALUE.</t>
  </si>
  <si>
    <t>Revenue Amount (AFN)</t>
  </si>
  <si>
    <t>Quantity Dispatched x Approved Unit Price.</t>
  </si>
  <si>
    <t>Customer Advance Reduced (AFN)</t>
  </si>
  <si>
    <t>Same as Revenue Amount.</t>
  </si>
  <si>
    <t>Date and Time of Dispatch</t>
  </si>
  <si>
    <t>From weighing-system timestamp.</t>
  </si>
  <si>
    <t>Auto-posted</t>
  </si>
  <si>
    <t>Posted automatically upon dispatch confirmation</t>
  </si>
  <si>
    <t>Weighing-system dispatch record is the sole trigger for revenue recognition.</t>
  </si>
  <si>
    <t>BACKGROUND DOUBLE-ENTRY POSTED</t>
  </si>
  <si>
    <t>Account</t>
  </si>
  <si>
    <t>Side</t>
  </si>
  <si>
    <t>Debit</t>
  </si>
  <si>
    <t>Liability reduced by value of coal dispatched</t>
  </si>
  <si>
    <t>Revenue Account</t>
  </si>
  <si>
    <t>Credit</t>
  </si>
  <si>
    <t>Revenue increased by the same amount</t>
  </si>
  <si>
    <t>Check</t>
  </si>
  <si>
    <t>PREPARED BY
(System - auto-generated)</t>
  </si>
  <si>
    <t>REVIEWED BY
(Finance Dept Head)</t>
  </si>
  <si>
    <t>1. Revenue is recognized only at the moment coal is physically transferred to the customer; cash received earlier sits in Customer Advance (Current Liability).</t>
  </si>
  <si>
    <t>2. A companion inventory entry is posted at the same time (Dr Cost of Coal Sold / Cr Coal Inventory) per the Sales &amp; Marketing specification.</t>
  </si>
  <si>
    <t>3. A printable voucher must be generated for this automated entry using the standard footer (FA-03 layout). The "Verified by" block prints N/A unless Internal Control verification applies.</t>
  </si>
  <si>
    <t>4. Dispatch data reaches the ERP in real time or via end-of-day synchronization, including from remote Second Units. Sub-office sales do not use the weighing system and go through RV/JV vouchers.</t>
  </si>
  <si>
    <t>5. Executive Director / Director approvals are obtained outside the system on the physical file and recorded as confirmation entries by department staff. There is no ED / Director signature block on this form.</t>
  </si>
  <si>
    <t>PURCHASE REQUEST - BUDGET CHECK &amp; FINANCE NOTIFICATION</t>
  </si>
  <si>
    <t>Financial gate before Procurement can act on any purchase request</t>
  </si>
  <si>
    <t>A. PURCHASE REQUEST (from requesting department)</t>
  </si>
  <si>
    <t>Purchase Request No.</t>
  </si>
  <si>
    <t>PR-2026-0312</t>
  </si>
  <si>
    <t>Date Submitted</t>
  </si>
  <si>
    <t>Requesting Department</t>
  </si>
  <si>
    <t>Inventory &amp; Warehouse</t>
  </si>
  <si>
    <t>Item / Category</t>
  </si>
  <si>
    <t>Diesel fuel - generators</t>
  </si>
  <si>
    <t>Estimated Cost (AFN)</t>
  </si>
  <si>
    <t>B. FINANCE BUDGET VERIFICATION</t>
  </si>
  <si>
    <t>Fiscal Year</t>
  </si>
  <si>
    <t>1405 (example)</t>
  </si>
  <si>
    <t>Budget Line (Chart of Accounts)</t>
  </si>
  <si>
    <t>6510 - Fuel Expense</t>
  </si>
  <si>
    <t>Allocated Budget (AFN)</t>
  </si>
  <si>
    <t>Spent / Committed to Date (AFN)</t>
  </si>
  <si>
    <t>Available Budget (AFN)</t>
  </si>
  <si>
    <t>Budget Check Result</t>
  </si>
  <si>
    <t>C. OUTCOME</t>
  </si>
  <si>
    <t>If budget exists</t>
  </si>
  <si>
    <t>Finance confirms in system; request transferred to Procurement</t>
  </si>
  <si>
    <t>Confirmed by / Date</t>
  </si>
  <si>
    <t>Finance Officer / 09-Oct-2026</t>
  </si>
  <si>
    <t>If NO budget</t>
  </si>
  <si>
    <t>System halts the purchase</t>
  </si>
  <si>
    <t>ED Physical Approval Ref.</t>
  </si>
  <si>
    <t>(blank when budget exists)</t>
  </si>
  <si>
    <t>ED Approval Date (physical)</t>
  </si>
  <si>
    <t>Recorded in System by</t>
  </si>
  <si>
    <t>Finance Department</t>
  </si>
  <si>
    <t>Request Status</t>
  </si>
  <si>
    <t>Transferred to Procurement</t>
  </si>
  <si>
    <t>Budget Override Flag</t>
  </si>
  <si>
    <t>No</t>
  </si>
  <si>
    <t>1. Sequence: request submitted -&gt; automatic Budget Check Notification to Finance -&gt; Finance checks allocated budget for the item/category in the current fiscal year.</t>
  </si>
  <si>
    <t>2. No budget: the system halts the purchase. The requesting department obtains a special PHYSICAL approval from the Executive Director; Finance records the ED approval reference, which acts as a budget override and releases the request to Procurement.</t>
  </si>
  <si>
    <t>3. The ED does not sign in the system; no ED signature block is shown. The recorded reference points to the signed hard-copy approval held on file.</t>
  </si>
  <si>
    <t>4. The Available Budget formula above is illustrative of the comparison the system performs; the real calculation source is the Planning &amp; Policy budget lines linked to the Chart of Accounts.</t>
  </si>
  <si>
    <t>INTERNAL CONTROL VERIFICATION RECORD - FINAL PAYMENT</t>
  </si>
  <si>
    <t>Mandatory gate before any final payment is processed (payroll uses its own IC record)</t>
  </si>
  <si>
    <t>Verification No.</t>
  </si>
  <si>
    <t>ICV-2026-000418</t>
  </si>
  <si>
    <t>Date Received by IC</t>
  </si>
  <si>
    <t>Payee</t>
  </si>
  <si>
    <t>Purchase Order Ref.</t>
  </si>
  <si>
    <t>PO-2026-0045</t>
  </si>
  <si>
    <t>GRN Ref.</t>
  </si>
  <si>
    <t>GRN-2026-0233</t>
  </si>
  <si>
    <t>Supplier Invoice Ref.</t>
  </si>
  <si>
    <t>INV-8841</t>
  </si>
  <si>
    <t>Re-verification Round</t>
  </si>
  <si>
    <t>1</t>
  </si>
  <si>
    <t>VERIFICATION CHECKLIST</t>
  </si>
  <si>
    <t>Result</t>
  </si>
  <si>
    <t>Document Ref. / Comment</t>
  </si>
  <si>
    <t>All physical supporting documents are in line with the ERP system entries</t>
  </si>
  <si>
    <t>Figures re-calculated by Internal Control - no difference found</t>
  </si>
  <si>
    <t>Purchase order, goods receipt and supplier invoice are fully processed and consistent</t>
  </si>
  <si>
    <t>Budget confirmation (or recorded ED override reference) is on file</t>
  </si>
  <si>
    <t>Outcome (system rule)</t>
  </si>
  <si>
    <t>Final Outcome</t>
  </si>
  <si>
    <t>Verified</t>
  </si>
  <si>
    <t>IC Comments
(mandatory if Rejected)</t>
  </si>
  <si>
    <t>If Rejected</t>
  </si>
  <si>
    <t>Notification with IC comments goes automatically to Finance Dept Head -&gt; Head unlocks -&gt; Officer notified, corrects and resubmits -&gt; Head re-approves -&gt; back to IC for re-verification.</t>
  </si>
  <si>
    <t>1. A transaction is not fully closed until IC verification is recorded. IC has read-only access; it cannot edit or approve records - only Verify or Reject (comments mandatory on rejection).</t>
  </si>
  <si>
    <t>2. Rejection rule: if any data, calculation or document is not perfectly aligned, IC rejects the transaction. The "Outcome (system rule)" cell demonstrates this logic; the actual outcome is IC's recorded decision.</t>
  </si>
  <si>
    <t>3. Every verification, rejection and re-verification is written to the Control Log. Checklist items reflect the approved design (documents vs ERP entries, recalculation, PO/GRN/invoice completeness, budget gate).</t>
  </si>
  <si>
    <t>OFFICER CORRECTION REQUEST</t>
  </si>
  <si>
    <t>Standard form for every module - Officers can never edit or delete a submitted entry</t>
  </si>
  <si>
    <t>A. REQUEST (raised by Level 3 Officer)</t>
  </si>
  <si>
    <t>Request No.</t>
  </si>
  <si>
    <t>CR-2026-000044</t>
  </si>
  <si>
    <t>Date Raised</t>
  </si>
  <si>
    <t>Module</t>
  </si>
  <si>
    <t>Finance &amp; Accounting</t>
  </si>
  <si>
    <t>Entry Type</t>
  </si>
  <si>
    <t>PV-000123</t>
  </si>
  <si>
    <t>Raised By (Officer)</t>
  </si>
  <si>
    <t>FIN-OFF-02</t>
  </si>
  <si>
    <t>Entry Status at Request</t>
  </si>
  <si>
    <t>Submitted - prior to IC verification</t>
  </si>
  <si>
    <t>Description of Error</t>
  </si>
  <si>
    <t>Wrong expense account selected (office supplies instead of fuel). EXAMPLE DATA.</t>
  </si>
  <si>
    <t>Required Correction</t>
  </si>
  <si>
    <t>Change Dr account from 6500 to 6510; amount unchanged.</t>
  </si>
  <si>
    <t>Justification</t>
  </si>
  <si>
    <t>Invoice INV-8790 is for diesel fuel.</t>
  </si>
  <si>
    <t>B. DEPARTMENT HEAD DECISION (notified automatically on submission)</t>
  </si>
  <si>
    <t>Decision</t>
  </si>
  <si>
    <t>Approved</t>
  </si>
  <si>
    <t>Decision Date / Time</t>
  </si>
  <si>
    <t>Reason (recorded if Rejected)</t>
  </si>
  <si>
    <t>Entry Unlocked</t>
  </si>
  <si>
    <t>Yes - Officer notified automatically</t>
  </si>
  <si>
    <t>Entry Remains As Originally Submitted (if Rejected)</t>
  </si>
  <si>
    <t>C. CORRECTED ENTRY</t>
  </si>
  <si>
    <t>Corrected &amp; Resubmitted On</t>
  </si>
  <si>
    <t>Corrected Entry Ref.</t>
  </si>
  <si>
    <t>PV-000123 (rev. 2)</t>
  </si>
  <si>
    <t>D. CONTROL LOG - PERMANENTLY RECORDED AND VISIBLE TO INTERNAL CONTROL</t>
  </si>
  <si>
    <t>Original entry</t>
  </si>
  <si>
    <t>Recorded</t>
  </si>
  <si>
    <t>Correction request</t>
  </si>
  <si>
    <t>Department Head decision</t>
  </si>
  <si>
    <t>Corrected entry</t>
  </si>
  <si>
    <t>REQUESTED BY
(Officer)</t>
  </si>
  <si>
    <t>DECIDED BY
(Department Head)</t>
  </si>
  <si>
    <t>1. Same workflow applies in every module (Finance, Inventory, Payroll, Sales, Properties, Procurement, Planning); the module name and notified Department Head change.</t>
  </si>
  <si>
    <t>2. Level 3 Officers cannot approve their own entries or modify/delete a submitted entry. Only the Department Head can unlock, which triggers an automatic notification to the Officer.</t>
  </si>
  <si>
    <t>3. Rejected requests: the Head records the reason and the entry stays as originally submitted. IC rejections follow the same unlock loop but start from IC comments instead of an Officer request (see FA-10).</t>
  </si>
  <si>
    <t>FISCAL PERIOD MANAGEMENT</t>
  </si>
  <si>
    <t>Configured exclusively by the Finance Department Head - dates are never hard-coded</t>
  </si>
  <si>
    <t>Period No.</t>
  </si>
  <si>
    <t>Period Type</t>
  </si>
  <si>
    <t>Period Name</t>
  </si>
  <si>
    <t>Start Date</t>
  </si>
  <si>
    <t>End Date</t>
  </si>
  <si>
    <t>Days</t>
  </si>
  <si>
    <t>Status Changed By</t>
  </si>
  <si>
    <t>Status Changed On</t>
  </si>
  <si>
    <t>Reason / Control Log Reference</t>
  </si>
  <si>
    <t>FY-2026</t>
  </si>
  <si>
    <t>Monthly</t>
  </si>
  <si>
    <t>January 2026</t>
  </si>
  <si>
    <t>Closed</t>
  </si>
  <si>
    <t>FIN-HEAD-01</t>
  </si>
  <si>
    <t>Period closed after reconciliation approved</t>
  </si>
  <si>
    <t>February 2026</t>
  </si>
  <si>
    <t>March 2026</t>
  </si>
  <si>
    <t>April 2026</t>
  </si>
  <si>
    <t>May 2026</t>
  </si>
  <si>
    <t>June 2026</t>
  </si>
  <si>
    <t>July 2026</t>
  </si>
  <si>
    <t>August 2026</t>
  </si>
  <si>
    <t>September 2026</t>
  </si>
  <si>
    <t>October 2026</t>
  </si>
  <si>
    <t>Open</t>
  </si>
  <si>
    <t>Opened for data entry</t>
  </si>
  <si>
    <t>November 2026</t>
  </si>
  <si>
    <t>Not opened</t>
  </si>
  <si>
    <t>December 2026</t>
  </si>
  <si>
    <t>1. Finance Head has exclusive authority to define fiscal year start/end dates and the monthly or quarterly sub-periods; the system must not hard-code them. Example dates above are illustrative only.</t>
  </si>
  <si>
    <t>2. Open: permits data entry. Close/Lock: historical periods locked; backdated entries into a closed period are strictly prevented.</t>
  </si>
  <si>
    <t>3. Re-open: for authorized adjustments (e.g. year-end audit adjustments) the Finance Head temporarily re-opens a closed period, processes the adjusting entries and formally re-closes and locks it.</t>
  </si>
  <si>
    <t>4. Every status change (close, re-open, adjust, re-close) is permanently captured in the Control Log - see FA-13 for the closing checklist and re-open log.</t>
  </si>
  <si>
    <t>PERIOD-END CLOSING CHECKLIST &amp; RE-OPEN LOG</t>
  </si>
  <si>
    <t>Initiated and authorized by the Finance Department Head</t>
  </si>
  <si>
    <t>Period</t>
  </si>
  <si>
    <t>Closing Initiated By</t>
  </si>
  <si>
    <t>Finance Department Head</t>
  </si>
  <si>
    <t>Date Initiated</t>
  </si>
  <si>
    <t>A. SYSTEM CLOSING CHECKS</t>
  </si>
  <si>
    <t>Counter / Reference</t>
  </si>
  <si>
    <t>All pending PVs, RVs and JVs are resolved</t>
  </si>
  <si>
    <t>Done</t>
  </si>
  <si>
    <t>0 pending</t>
  </si>
  <si>
    <t>Unreconciled transactions counter confirms zero outstanding</t>
  </si>
  <si>
    <t>Counter = 0 (FA-06)</t>
  </si>
  <si>
    <t>Bank reconciliation confirmed approved by Finance Head</t>
  </si>
  <si>
    <t>Finance Head authorizes close</t>
  </si>
  <si>
    <t>Period status (system rule)</t>
  </si>
  <si>
    <t>B. RE-OPEN PROTOCOL LOG (post-closing adjustments)</t>
  </si>
  <si>
    <t>Re-opened On</t>
  </si>
  <si>
    <t>Reason (e.g. year-end audit adjustment)</t>
  </si>
  <si>
    <t>Adjusting Entries (voucher refs)</t>
  </si>
  <si>
    <t>Re-closed On</t>
  </si>
  <si>
    <t>Authorized By</t>
  </si>
  <si>
    <t>Audit adjustment - EXAMPLE</t>
  </si>
  <si>
    <t>JV-000071, JV-000072</t>
  </si>
  <si>
    <t>Finance Dept Head</t>
  </si>
  <si>
    <t>AUTHORIZED BY
(Finance Department Head)</t>
  </si>
  <si>
    <t>1. Closing locks the period and the system strictly prevents backdated entries into it. The system blocks the closing workflow while unreconciled transactions remain, unless resolved or formally addressed by the Finance Head.</t>
  </si>
  <si>
    <t>2. Re-opening is temporary; the Head must re-close and lock after adjusting entries. All status changes are permanently written to the Control Log.</t>
  </si>
  <si>
    <t>CHART OF ACCOUNTS - ACCOUNT CREATION TEMPLATE</t>
  </si>
  <si>
    <t>Built and maintained by the Finance Department after deployment - NOT pre-configured by developers</t>
  </si>
  <si>
    <t>Authority: only the Finance Department Head and the System Administrator may create, edit or deactivate accounts. Finance Officers have no authority. Account codes and names below are ILLUSTRATIVE of structure only.</t>
  </si>
  <si>
    <t>Class</t>
  </si>
  <si>
    <t>Subclass</t>
  </si>
  <si>
    <t>Normal Balance</t>
  </si>
  <si>
    <t>Cost Classification
(expense accounts only)</t>
  </si>
  <si>
    <t>Second Unit / HQ Sub-account</t>
  </si>
  <si>
    <t>Rule Check (system)</t>
  </si>
  <si>
    <t>Cash Box</t>
  </si>
  <si>
    <t>Assets</t>
  </si>
  <si>
    <t>Current - Cash</t>
  </si>
  <si>
    <t>HQ and each Second Unit</t>
  </si>
  <si>
    <t>Active</t>
  </si>
  <si>
    <t>Current - Bank</t>
  </si>
  <si>
    <t>Tenant Receivable</t>
  </si>
  <si>
    <t>Current - Receivables</t>
  </si>
  <si>
    <t>Employee Advance</t>
  </si>
  <si>
    <t>Coal Inventory</t>
  </si>
  <si>
    <t>Current - Inventory</t>
  </si>
  <si>
    <t>Asset - In Use</t>
  </si>
  <si>
    <t>Non-current - Assets in use</t>
  </si>
  <si>
    <t>Motor Vehicles</t>
  </si>
  <si>
    <t>Non-current - PPE</t>
  </si>
  <si>
    <t>Liabilities</t>
  </si>
  <si>
    <t>Current</t>
  </si>
  <si>
    <t>Salaries Payable</t>
  </si>
  <si>
    <t>Tax Payable to Government</t>
  </si>
  <si>
    <t>Customer Advance</t>
  </si>
  <si>
    <t>Supplier Security Deposit</t>
  </si>
  <si>
    <t>Coal Sales Revenue</t>
  </si>
  <si>
    <t>Revenue</t>
  </si>
  <si>
    <t>Core revenue</t>
  </si>
  <si>
    <t>Rental Income</t>
  </si>
  <si>
    <t>Non-core revenue</t>
  </si>
  <si>
    <t>Other Income</t>
  </si>
  <si>
    <t>Cost of Coal Sold</t>
  </si>
  <si>
    <t>Cost of Sales</t>
  </si>
  <si>
    <t>Direct costs</t>
  </si>
  <si>
    <t>Direct</t>
  </si>
  <si>
    <t>Wages Expense - Site Workers</t>
  </si>
  <si>
    <t>Salary Expense - Administration</t>
  </si>
  <si>
    <t>Operating Expenses</t>
  </si>
  <si>
    <t>Staff costs</t>
  </si>
  <si>
    <t>Indirect</t>
  </si>
  <si>
    <t>Depreciation</t>
  </si>
  <si>
    <t>Office Supplies Expense</t>
  </si>
  <si>
    <t>General administration</t>
  </si>
  <si>
    <t>Fuel Expense</t>
  </si>
  <si>
    <t>1. The system must provide a fully flexible account-creation interface so Finance can build, edit and manage the entire chart (hierarchical classes and subclasses: Revenue, Cost of Sales, Operating Expenses, Assets, Liabilities, Equity).</t>
  </si>
  <si>
    <t>2. Creating ANY expense account presents a mandatory Direct Cost / Indirect Cost classification. Direct costs print above the gross profit line and indirect costs below it in the Income Statement. The Rule Check column demonstrates the validation (row 6510 is deliberately incomplete).</t>
  </si>
  <si>
    <t>3. The chart includes dedicated sub-accounts for each Second Unit and HQ so Planning &amp; Policy can link plan items and pull actuals per location.</t>
  </si>
  <si>
    <t>4. Land is a zero-depreciation asset class (rate locked at 0). Row 6510 intentionally left without classification to show the validation message.</t>
  </si>
  <si>
    <t>ACCOUNTING ENTRIES - DEVELOPER REFERENCE (FINANCE &amp; ACCOUNTING)</t>
  </si>
  <si>
    <t>All entries are posted automatically in the background unless stated otherwise</t>
  </si>
  <si>
    <t>Trigger Event</t>
  </si>
  <si>
    <t>Posting Basis</t>
  </si>
  <si>
    <t>Deposit matched and confirmed in bank reconciliation</t>
  </si>
  <si>
    <t>On Finance Officer's confirmed match</t>
  </si>
  <si>
    <t>Payment matched and confirmed in bank reconciliation</t>
  </si>
  <si>
    <t>Relevant Expense or Purchase Account</t>
  </si>
  <si>
    <t>Coal dispatched to customer (weighing system confirmation)</t>
  </si>
  <si>
    <t>Automatic on dispatch confirmation (mining sites)</t>
  </si>
  <si>
    <t>Purchase invoice approved and received</t>
  </si>
  <si>
    <t>Relevant Expense or Asset Account</t>
  </si>
  <si>
    <t>Automatic</t>
  </si>
  <si>
    <t>Payment made to supplier</t>
  </si>
  <si>
    <t>On payment (after IC verification of final payment)</t>
  </si>
  <si>
    <t>Consumable inventory issued to department</t>
  </si>
  <si>
    <t>Expense Account</t>
  </si>
  <si>
    <t>Inventory Account</t>
  </si>
  <si>
    <t>Automatic on confirmed issuance</t>
  </si>
  <si>
    <t>Non-consumable item handed to employee</t>
  </si>
  <si>
    <t>Asset - In Use Account</t>
  </si>
  <si>
    <t>Automatic on handover</t>
  </si>
  <si>
    <t>Cash wages paid to site workers</t>
  </si>
  <si>
    <t>Wages Expense</t>
  </si>
  <si>
    <t>Cash Account</t>
  </si>
  <si>
    <t>Second Unit Finance Officer entry</t>
  </si>
  <si>
    <t>Payroll posted after ED physical approval recorded</t>
  </si>
  <si>
    <t>Payroll Expense</t>
  </si>
  <si>
    <t>Per approved Finance &amp; Accounting specification</t>
  </si>
  <si>
    <t>Payroll paid via bank transfer</t>
  </si>
  <si>
    <t>On payment</t>
  </si>
  <si>
    <t>Depreciation posted monthly</t>
  </si>
  <si>
    <t>Automatic, monthly</t>
  </si>
  <si>
    <t>Fixed asset purchased</t>
  </si>
  <si>
    <t>Fixed Asset Account</t>
  </si>
  <si>
    <t>Accounts Payable / Bank Account</t>
  </si>
  <si>
    <t>Inventory loss or wastage recorded</t>
  </si>
  <si>
    <t>Loss on Inventory Account</t>
  </si>
  <si>
    <t>After Inventory Head approval</t>
  </si>
  <si>
    <t>VOUCHER POSTING LOGIC (manual vouchers)</t>
  </si>
  <si>
    <t>Voucher</t>
  </si>
  <si>
    <t>[Selected Expense / Asset / Liability account]</t>
  </si>
  <si>
    <t>[Selected Bank / Cash account]</t>
  </si>
  <si>
    <t>Outgoing funds to suppliers, employees or other entities.</t>
  </si>
  <si>
    <t>[Selected Revenue / Liability / Asset account]</t>
  </si>
  <si>
    <t>All incoming funds and customer advances.</t>
  </si>
  <si>
    <t>[Officer-selected Debit account(s)]</t>
  </si>
  <si>
    <t>[Officer-selected Credit account(s)]</t>
  </si>
  <si>
    <t>Non-cash adjustments, depreciation, corrections, internal transfers. Debits must equal Credits or the submission is hard-blocked.</t>
  </si>
  <si>
    <t>TRIAL BALANCE</t>
  </si>
  <si>
    <t>Standard report template - applies to ALL reports</t>
  </si>
  <si>
    <t>Date Range</t>
  </si>
  <si>
    <t>01-Jan-2026 to 31-Oct-2026</t>
  </si>
  <si>
    <t>Scope / Filter</t>
  </si>
  <si>
    <t>Consolidated (or Second Unit / Cost Center)</t>
  </si>
  <si>
    <t>Generated On</t>
  </si>
  <si>
    <t>Generated By</t>
  </si>
  <si>
    <t>Capital / Equity (balancing example figure)</t>
  </si>
  <si>
    <t>1. Every report must display: corporation name and logo, report title, date range, generation timestamp and generating user name (Planning reports also show fiscal year).</t>
  </si>
  <si>
    <t>2. Every report must be exportable to PDF and Excel and generated dynamically with a flexible Custom Date Range filter.</t>
  </si>
  <si>
    <t>3. Trial balance figures above are illustrative example data only.</t>
  </si>
  <si>
    <t>REQUIRED REPORTS - FINANCE &amp; ACCOUNTING</t>
  </si>
  <si>
    <t>All use the standard header/footer in FA-16</t>
  </si>
  <si>
    <t>Report</t>
  </si>
  <si>
    <t>Frequency</t>
  </si>
  <si>
    <t>Filter Options</t>
  </si>
  <si>
    <t>Export</t>
  </si>
  <si>
    <t>Trial Balance</t>
  </si>
  <si>
    <t>On demand</t>
  </si>
  <si>
    <t>Custom date range, Second Unit, cost center</t>
  </si>
  <si>
    <t>PDF + Excel</t>
  </si>
  <si>
    <t>Income Statement</t>
  </si>
  <si>
    <t>Custom date range, Consolidated or per Second Unit</t>
  </si>
  <si>
    <t>Balance Sheet</t>
  </si>
  <si>
    <t>Cash Flow Statement</t>
  </si>
  <si>
    <t>Custom date range, Consolidated</t>
  </si>
  <si>
    <t>Statement of Changes in Equity</t>
  </si>
  <si>
    <t>Budget vs Actual</t>
  </si>
  <si>
    <t>Custom date range, Per cost center, per Second Unit</t>
  </si>
  <si>
    <t>Customer Advance Ledger</t>
  </si>
  <si>
    <t>Custom date range, Per customer</t>
  </si>
  <si>
    <t>Revenue Recognition Report</t>
  </si>
  <si>
    <t>Custom date range, Per Second Unit, per customer</t>
  </si>
  <si>
    <t>Coal Entitlement Tracking</t>
  </si>
  <si>
    <t>Custom date range, Per customer - total approved, dispatched, remaining</t>
  </si>
  <si>
    <t>Unreconciled Transactions</t>
  </si>
  <si>
    <t>On demand / Real-time</t>
  </si>
  <si>
    <t>Custom date range, Per bank account - count and total value</t>
  </si>
  <si>
    <t>Bank Reconciliation Report</t>
  </si>
  <si>
    <t>Custom date range, Per bank account</t>
  </si>
  <si>
    <t>Voucher Status Report</t>
  </si>
  <si>
    <t>Custom date range, By status, unit, user</t>
  </si>
  <si>
    <t>Correction Request Log</t>
  </si>
  <si>
    <t>Custom date range, By department, user</t>
  </si>
  <si>
    <t>Control Log / Audit Trail</t>
  </si>
  <si>
    <t>Custom date range, By user, action type</t>
  </si>
  <si>
    <t>Bulk Import Log</t>
  </si>
  <si>
    <t>Custom date range, Accepted, flagged and rejected rows</t>
  </si>
  <si>
    <t>Custom date range, By department, workflow type, verification outcome</t>
  </si>
  <si>
    <t>CONTROL LOG (AUDIT TRAIL) - STANDARD LAYOUT</t>
  </si>
  <si>
    <t>Automated, immutable - captures User ID, timestamp and action for every action in the system</t>
  </si>
  <si>
    <t>Log No.</t>
  </si>
  <si>
    <t>Timestamp</t>
  </si>
  <si>
    <t>User ID</t>
  </si>
  <si>
    <t>Role (Access Level)</t>
  </si>
  <si>
    <t>Unit</t>
  </si>
  <si>
    <t>Action</t>
  </si>
  <si>
    <t>Record Ref.</t>
  </si>
  <si>
    <t>Details (original value, new value, comments)</t>
  </si>
  <si>
    <t>Level 3 Officer</t>
  </si>
  <si>
    <t>Finance</t>
  </si>
  <si>
    <t>Voucher submitted</t>
  </si>
  <si>
    <t>Dr 6500 Office Supplies / Cr 1130 Bank - 420,000.00 (original entry)</t>
  </si>
  <si>
    <t>Correction request raised</t>
  </si>
  <si>
    <t>Wrong expense account; required: 6510 Fuel Expense</t>
  </si>
  <si>
    <t>Level 2 Dept Head</t>
  </si>
  <si>
    <t>Correction approved / entry unlocked</t>
  </si>
  <si>
    <t>Officer notified automatically</t>
  </si>
  <si>
    <t>Corrected entry resubmitted</t>
  </si>
  <si>
    <t>Dr 6510 Fuel Expense / Cr 1130 Bank - 420,000.00 (corrected entry)</t>
  </si>
  <si>
    <t>Voucher approved; routed to IC</t>
  </si>
  <si>
    <t>Status: Pending IC Verification</t>
  </si>
  <si>
    <t>IC-AUD-03</t>
  </si>
  <si>
    <t>Level 4 Internal Control</t>
  </si>
  <si>
    <t>IC rejected</t>
  </si>
  <si>
    <t>IC comment: invoice INV-8790 amount differs from PV by 2,000.00</t>
  </si>
  <si>
    <t>Fiscal period re-opened</t>
  </si>
  <si>
    <t>FY-2026 / Sep</t>
  </si>
  <si>
    <t>Reason: audit adjustment (example)</t>
  </si>
  <si>
    <t>1. No user, including the System Administrator, can edit or delete Control Log entries. Internal Control has read-only access to the complete log at all times.</t>
  </si>
  <si>
    <t>2. Correction trails must keep the original incorrect entry, the correction request, the Head's decision and the corrected entry permanently visible. Fiscal period close/re-open/adjust/re-close events are logged too.</t>
  </si>
  <si>
    <t>3. Example rows only; user IDs and values are illustrative.</t>
  </si>
  <si>
    <t xml:space="preserve">Developer pack accompanying the approved System Architecture &amp; BPR Report (20 September 2026)  |  Prepared by Crest Point Consulting Group  |  Version 1.0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</si>
</sst>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0\);\-"/>
    <numFmt numFmtId="166" formatCode="#,##0.000;\(#,##0.000\);\-"/>
    <numFmt numFmtId="167" formatCode="dd\-mmm\-yyyy\ hh:mm"/>
  </numFmts>
  <fonts count="16" x14ac:knownFonts="1">
    <font>
      <sz val="11"/>
      <color theme="1"/>
      <name val="Calibri"/>
      <family val="2"/>
      <charset val="1"/>
    </font>
    <font>
      <b/>
      <sz val="16"/>
      <color rgb="FF1F3864"/>
      <name val="Arial"/>
      <charset val="1"/>
    </font>
    <font>
      <b/>
      <sz val="13"/>
      <color rgb="FF000000"/>
      <name val="Arial"/>
      <charset val="1"/>
    </font>
    <font>
      <i/>
      <sz val="9"/>
      <color rgb="FF000000"/>
      <name val="Arial"/>
      <charset val="1"/>
    </font>
    <font>
      <b/>
      <sz val="10"/>
      <color rgb="FF000000"/>
      <name val="Arial"/>
      <charset val="1"/>
    </font>
    <font>
      <sz val="10"/>
      <color rgb="FF0000FF"/>
      <name val="Arial"/>
      <charset val="1"/>
    </font>
    <font>
      <sz val="10"/>
      <color rgb="FF000000"/>
      <name val="Arial"/>
      <charset val="1"/>
    </font>
    <font>
      <i/>
      <sz val="10"/>
      <color rgb="FF7F7F7F"/>
      <name val="Arial"/>
      <charset val="1"/>
    </font>
    <font>
      <sz val="10"/>
      <color rgb="FFFFFFFF"/>
      <name val="Arial"/>
      <charset val="1"/>
    </font>
    <font>
      <b/>
      <sz val="10"/>
      <color rgb="FFFFFFFF"/>
      <name val="Arial"/>
      <charset val="1"/>
    </font>
    <font>
      <u/>
      <sz val="10"/>
      <color rgb="FF0563C1"/>
      <name val="Arial"/>
      <charset val="1"/>
    </font>
    <font>
      <sz val="9"/>
      <color rgb="FF000000"/>
      <name val="Arial"/>
      <charset val="1"/>
    </font>
    <font>
      <b/>
      <sz val="14"/>
      <color rgb="FF1F3864"/>
      <name val="Arial"/>
      <charset val="1"/>
    </font>
    <font>
      <b/>
      <sz val="9"/>
      <color rgb="FFFFFFFF"/>
      <name val="Arial"/>
      <charset val="1"/>
    </font>
    <font>
      <b/>
      <sz val="10"/>
      <color rgb="FF0000FF"/>
      <name val="Arial"/>
      <charset val="1"/>
    </font>
    <font>
      <b/>
      <sz val="9"/>
      <color rgb="FF000000"/>
      <name val="Arial"/>
      <charset val="1"/>
    </font>
  </fonts>
  <fills count="7">
    <fill>
      <patternFill patternType="none"/>
    </fill>
    <fill>
      <patternFill patternType="gray125"/>
    </fill>
    <fill>
      <patternFill patternType="solid">
        <fgColor rgb="FFD9E1F2"/>
        <bgColor rgb="FFE7E6E6"/>
      </patternFill>
    </fill>
    <fill>
      <patternFill patternType="solid">
        <fgColor rgb="FFFFF2CC"/>
        <bgColor rgb="FFF2F2F2"/>
      </patternFill>
    </fill>
    <fill>
      <patternFill patternType="solid">
        <fgColor rgb="FFE7E6E6"/>
        <bgColor rgb="FFD9E1F2"/>
      </patternFill>
    </fill>
    <fill>
      <patternFill patternType="solid">
        <fgColor rgb="FFF2F2F2"/>
        <bgColor rgb="FFE7E6E6"/>
      </patternFill>
    </fill>
    <fill>
      <patternFill patternType="solid">
        <fgColor rgb="FF1F3864"/>
        <bgColor rgb="FF333333"/>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59">
    <xf numFmtId="0" fontId="0" fillId="0" borderId="0" xfId="0"/>
    <xf numFmtId="0" fontId="6" fillId="4" borderId="1" xfId="0" applyFont="1" applyFill="1" applyBorder="1" applyAlignment="1">
      <alignment horizontal="left" vertical="center" wrapText="1"/>
    </xf>
    <xf numFmtId="164" fontId="5" fillId="3" borderId="1" xfId="0" applyNumberFormat="1" applyFont="1" applyFill="1"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applyAlignment="1">
      <alignment horizontal="left" vertical="center" wrapText="1"/>
    </xf>
    <xf numFmtId="0" fontId="6"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4" fillId="2"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6" fillId="4" borderId="1" xfId="0" applyFont="1" applyFill="1" applyBorder="1" applyAlignment="1">
      <alignment horizontal="left" vertical="center" wrapText="1"/>
    </xf>
    <xf numFmtId="164" fontId="5" fillId="3" borderId="1" xfId="0" applyNumberFormat="1" applyFont="1" applyFill="1" applyBorder="1" applyAlignment="1">
      <alignment horizontal="left" vertical="center" wrapText="1"/>
    </xf>
    <xf numFmtId="0" fontId="5" fillId="3" borderId="1" xfId="0" applyFont="1" applyFill="1" applyBorder="1" applyAlignment="1">
      <alignment horizontal="left" vertical="center" wrapText="1"/>
    </xf>
    <xf numFmtId="165" fontId="5" fillId="3" borderId="1" xfId="0" applyNumberFormat="1" applyFont="1" applyFill="1" applyBorder="1" applyAlignment="1">
      <alignment horizontal="left" vertical="center" wrapText="1"/>
    </xf>
    <xf numFmtId="165" fontId="6" fillId="4" borderId="1" xfId="0" applyNumberFormat="1" applyFont="1" applyFill="1" applyBorder="1" applyAlignment="1">
      <alignment horizontal="left" vertical="center" wrapText="1"/>
    </xf>
    <xf numFmtId="165" fontId="6" fillId="0" borderId="1" xfId="0" applyNumberFormat="1" applyFont="1" applyBorder="1" applyAlignment="1">
      <alignment horizontal="left" vertical="center" wrapText="1"/>
    </xf>
    <xf numFmtId="165" fontId="4" fillId="2" borderId="1" xfId="0" applyNumberFormat="1" applyFont="1" applyFill="1" applyBorder="1" applyAlignment="1">
      <alignment horizontal="left" vertical="center" wrapText="1"/>
    </xf>
    <xf numFmtId="0" fontId="13" fillId="6" borderId="1" xfId="0" applyFont="1" applyFill="1" applyBorder="1" applyAlignment="1">
      <alignment horizontal="center" vertical="center" wrapText="1"/>
    </xf>
    <xf numFmtId="0" fontId="6" fillId="0" borderId="1" xfId="0" applyFont="1" applyBorder="1" applyAlignment="1">
      <alignment horizontal="left" vertical="top" wrapText="1"/>
    </xf>
    <xf numFmtId="0" fontId="7" fillId="5" borderId="1" xfId="0" applyFont="1" applyFill="1" applyBorder="1" applyAlignment="1">
      <alignment horizontal="left" vertical="center" wrapText="1"/>
    </xf>
    <xf numFmtId="0" fontId="6" fillId="4" borderId="1" xfId="0" applyFont="1" applyFill="1" applyBorder="1" applyAlignment="1">
      <alignment horizontal="right" vertical="center" wrapText="1"/>
    </xf>
    <xf numFmtId="0" fontId="4" fillId="4" borderId="1" xfId="0" applyFont="1" applyFill="1" applyBorder="1" applyAlignment="1">
      <alignment horizontal="left" vertical="center" wrapText="1"/>
    </xf>
    <xf numFmtId="166" fontId="6" fillId="4" borderId="1" xfId="0" applyNumberFormat="1" applyFont="1" applyFill="1" applyBorder="1" applyAlignment="1">
      <alignment horizontal="left" vertical="center" wrapText="1"/>
    </xf>
    <xf numFmtId="167" fontId="6" fillId="4" borderId="1" xfId="0" applyNumberFormat="1" applyFont="1" applyFill="1" applyBorder="1" applyAlignment="1">
      <alignment horizontal="left" vertical="center" wrapText="1"/>
    </xf>
    <xf numFmtId="0" fontId="14" fillId="3"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4" fillId="2" borderId="1" xfId="0" applyFont="1" applyFill="1" applyBorder="1" applyAlignment="1">
      <alignment horizontal="right"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left" vertical="top" wrapText="1"/>
    </xf>
    <xf numFmtId="0" fontId="13" fillId="6" borderId="1" xfId="0" applyFont="1" applyFill="1" applyBorder="1" applyAlignment="1">
      <alignment horizontal="center" vertical="center" wrapText="1"/>
    </xf>
    <xf numFmtId="0" fontId="6" fillId="0" borderId="1" xfId="0" applyFont="1" applyBorder="1" applyAlignment="1">
      <alignment horizontal="left" vertical="top" wrapText="1"/>
    </xf>
    <xf numFmtId="0" fontId="7" fillId="5" borderId="1" xfId="0" applyFont="1" applyFill="1" applyBorder="1" applyAlignment="1">
      <alignment horizontal="left" vertical="center" wrapText="1"/>
    </xf>
    <xf numFmtId="0" fontId="3" fillId="0" borderId="0" xfId="0" applyFont="1" applyAlignment="1">
      <alignment horizontal="left" vertical="center" wrapText="1"/>
    </xf>
    <xf numFmtId="0" fontId="9" fillId="6"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0" borderId="1" xfId="0" applyFont="1" applyBorder="1" applyAlignment="1">
      <alignment horizontal="left" vertical="center" wrapText="1"/>
    </xf>
    <xf numFmtId="164" fontId="6" fillId="4" borderId="1" xfId="0" applyNumberFormat="1" applyFont="1" applyFill="1" applyBorder="1" applyAlignment="1">
      <alignment horizontal="left" vertical="center" wrapText="1"/>
    </xf>
    <xf numFmtId="165" fontId="6" fillId="4" borderId="1" xfId="0" applyNumberFormat="1" applyFont="1" applyFill="1" applyBorder="1" applyAlignment="1">
      <alignment horizontal="left" vertical="center" wrapText="1"/>
    </xf>
    <xf numFmtId="165" fontId="5" fillId="3" borderId="1" xfId="0" applyNumberFormat="1" applyFont="1" applyFill="1" applyBorder="1" applyAlignment="1">
      <alignment horizontal="left" vertical="center" wrapText="1"/>
    </xf>
    <xf numFmtId="0" fontId="9" fillId="6"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167" fontId="6" fillId="4" borderId="1" xfId="0" applyNumberFormat="1" applyFont="1" applyFill="1" applyBorder="1" applyAlignment="1">
      <alignment horizontal="left" vertical="center" wrapText="1"/>
    </xf>
    <xf numFmtId="0" fontId="6"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5"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F2F2F2"/>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North_Coal_ERP_Finance_Accounting_Forms.xlsx" TargetMode="External"/><Relationship Id="rId13" Type="http://schemas.openxmlformats.org/officeDocument/2006/relationships/hyperlink" Target="North_Coal_ERP_Finance_Accounting_Forms.xlsx" TargetMode="External"/><Relationship Id="rId18" Type="http://schemas.openxmlformats.org/officeDocument/2006/relationships/hyperlink" Target="North_Coal_ERP_Finance_Accounting_Forms.xlsx" TargetMode="External"/><Relationship Id="rId3" Type="http://schemas.openxmlformats.org/officeDocument/2006/relationships/hyperlink" Target="North_Coal_ERP_Finance_Accounting_Forms.xlsx" TargetMode="External"/><Relationship Id="rId7" Type="http://schemas.openxmlformats.org/officeDocument/2006/relationships/hyperlink" Target="North_Coal_ERP_Finance_Accounting_Forms.xlsx" TargetMode="External"/><Relationship Id="rId12" Type="http://schemas.openxmlformats.org/officeDocument/2006/relationships/hyperlink" Target="North_Coal_ERP_Finance_Accounting_Forms.xlsx" TargetMode="External"/><Relationship Id="rId17" Type="http://schemas.openxmlformats.org/officeDocument/2006/relationships/hyperlink" Target="North_Coal_ERP_Finance_Accounting_Forms.xlsx" TargetMode="External"/><Relationship Id="rId2" Type="http://schemas.openxmlformats.org/officeDocument/2006/relationships/hyperlink" Target="North_Coal_ERP_Finance_Accounting_Forms.xlsx" TargetMode="External"/><Relationship Id="rId16" Type="http://schemas.openxmlformats.org/officeDocument/2006/relationships/hyperlink" Target="North_Coal_ERP_Finance_Accounting_Forms.xlsx" TargetMode="External"/><Relationship Id="rId1" Type="http://schemas.openxmlformats.org/officeDocument/2006/relationships/hyperlink" Target="North_Coal_ERP_Finance_Accounting_Forms.xlsx" TargetMode="External"/><Relationship Id="rId6" Type="http://schemas.openxmlformats.org/officeDocument/2006/relationships/hyperlink" Target="North_Coal_ERP_Finance_Accounting_Forms.xlsx" TargetMode="External"/><Relationship Id="rId11" Type="http://schemas.openxmlformats.org/officeDocument/2006/relationships/hyperlink" Target="North_Coal_ERP_Finance_Accounting_Forms.xlsx" TargetMode="External"/><Relationship Id="rId5" Type="http://schemas.openxmlformats.org/officeDocument/2006/relationships/hyperlink" Target="North_Coal_ERP_Finance_Accounting_Forms.xlsx" TargetMode="External"/><Relationship Id="rId15" Type="http://schemas.openxmlformats.org/officeDocument/2006/relationships/hyperlink" Target="North_Coal_ERP_Finance_Accounting_Forms.xlsx" TargetMode="External"/><Relationship Id="rId10" Type="http://schemas.openxmlformats.org/officeDocument/2006/relationships/hyperlink" Target="North_Coal_ERP_Finance_Accounting_Forms.xlsx" TargetMode="External"/><Relationship Id="rId4" Type="http://schemas.openxmlformats.org/officeDocument/2006/relationships/hyperlink" Target="North_Coal_ERP_Finance_Accounting_Forms.xlsx" TargetMode="External"/><Relationship Id="rId9" Type="http://schemas.openxmlformats.org/officeDocument/2006/relationships/hyperlink" Target="North_Coal_ERP_Finance_Accounting_Forms.xlsx" TargetMode="External"/><Relationship Id="rId14" Type="http://schemas.openxmlformats.org/officeDocument/2006/relationships/hyperlink" Target="North_Coal_ERP_Finance_Accounting_Forms.xls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D38"/>
  <sheetViews>
    <sheetView showGridLines="0" tabSelected="1" zoomScaleNormal="100" workbookViewId="0">
      <selection sqref="A1:D1"/>
    </sheetView>
  </sheetViews>
  <sheetFormatPr defaultColWidth="8.68359375" defaultRowHeight="14.4" x14ac:dyDescent="0.55000000000000004"/>
  <cols>
    <col min="1" max="1" width="12" customWidth="1"/>
    <col min="2" max="2" width="34" customWidth="1"/>
    <col min="3" max="3" width="86" customWidth="1"/>
    <col min="4" max="4" width="30" customWidth="1"/>
  </cols>
  <sheetData>
    <row r="1" spans="1:4" ht="18" customHeight="1" x14ac:dyDescent="0.55000000000000004">
      <c r="A1" s="12" t="s">
        <v>0</v>
      </c>
      <c r="B1" s="12"/>
      <c r="C1" s="12"/>
      <c r="D1" s="12"/>
    </row>
    <row r="2" spans="1:4" ht="18" customHeight="1" x14ac:dyDescent="0.55000000000000004">
      <c r="A2" s="11" t="s">
        <v>1</v>
      </c>
      <c r="B2" s="11"/>
      <c r="C2" s="11"/>
      <c r="D2" s="11"/>
    </row>
    <row r="3" spans="1:4" ht="30.75" customHeight="1" x14ac:dyDescent="0.55000000000000004">
      <c r="A3" s="10" t="s">
        <v>748</v>
      </c>
      <c r="B3" s="10"/>
      <c r="C3" s="10"/>
      <c r="D3" s="10"/>
    </row>
    <row r="5" spans="1:4" ht="18" customHeight="1" x14ac:dyDescent="0.55000000000000004">
      <c r="A5" s="9" t="s">
        <v>2</v>
      </c>
      <c r="B5" s="9"/>
      <c r="C5" s="9"/>
      <c r="D5" s="9"/>
    </row>
    <row r="6" spans="1:4" ht="18" customHeight="1" x14ac:dyDescent="0.55000000000000004">
      <c r="A6" s="14" t="s">
        <v>3</v>
      </c>
      <c r="B6" s="8" t="s">
        <v>4</v>
      </c>
      <c r="C6" s="8"/>
      <c r="D6" s="8"/>
    </row>
    <row r="7" spans="1:4" ht="18" customHeight="1" x14ac:dyDescent="0.55000000000000004">
      <c r="A7" s="16" t="s">
        <v>5</v>
      </c>
      <c r="B7" s="8" t="s">
        <v>6</v>
      </c>
      <c r="C7" s="8"/>
      <c r="D7" s="8"/>
    </row>
    <row r="8" spans="1:4" ht="18" customHeight="1" x14ac:dyDescent="0.55000000000000004">
      <c r="A8" s="17" t="s">
        <v>7</v>
      </c>
      <c r="B8" s="8" t="s">
        <v>8</v>
      </c>
      <c r="C8" s="8"/>
      <c r="D8" s="8"/>
    </row>
    <row r="9" spans="1:4" ht="18" customHeight="1" x14ac:dyDescent="0.55000000000000004">
      <c r="A9" s="18" t="s">
        <v>9</v>
      </c>
      <c r="B9" s="8" t="s">
        <v>10</v>
      </c>
      <c r="C9" s="8"/>
      <c r="D9" s="8"/>
    </row>
    <row r="11" spans="1:4" ht="24" customHeight="1" x14ac:dyDescent="0.55000000000000004">
      <c r="A11" s="19" t="s">
        <v>11</v>
      </c>
      <c r="B11" s="19" t="s">
        <v>12</v>
      </c>
      <c r="C11" s="19" t="s">
        <v>13</v>
      </c>
      <c r="D11" s="19" t="s">
        <v>14</v>
      </c>
    </row>
    <row r="12" spans="1:4" ht="30.75" customHeight="1" x14ac:dyDescent="0.55000000000000004">
      <c r="A12" s="20" t="s">
        <v>15</v>
      </c>
      <c r="B12" s="21" t="s">
        <v>16</v>
      </c>
      <c r="C12" s="15" t="s">
        <v>17</v>
      </c>
      <c r="D12" s="22" t="s">
        <v>18</v>
      </c>
    </row>
    <row r="13" spans="1:4" ht="19.5" customHeight="1" x14ac:dyDescent="0.55000000000000004">
      <c r="A13" s="20" t="s">
        <v>19</v>
      </c>
      <c r="B13" s="21" t="s">
        <v>20</v>
      </c>
      <c r="C13" s="15" t="s">
        <v>21</v>
      </c>
      <c r="D13" s="22" t="s">
        <v>22</v>
      </c>
    </row>
    <row r="14" spans="1:4" ht="30.75" customHeight="1" x14ac:dyDescent="0.55000000000000004">
      <c r="A14" s="20" t="s">
        <v>23</v>
      </c>
      <c r="B14" s="21" t="s">
        <v>24</v>
      </c>
      <c r="C14" s="15" t="s">
        <v>25</v>
      </c>
      <c r="D14" s="22" t="s">
        <v>22</v>
      </c>
    </row>
    <row r="15" spans="1:4" ht="30.75" customHeight="1" x14ac:dyDescent="0.55000000000000004">
      <c r="A15" s="20" t="s">
        <v>26</v>
      </c>
      <c r="B15" s="21" t="s">
        <v>27</v>
      </c>
      <c r="C15" s="15" t="s">
        <v>28</v>
      </c>
      <c r="D15" s="22" t="s">
        <v>29</v>
      </c>
    </row>
    <row r="16" spans="1:4" ht="30.75" customHeight="1" x14ac:dyDescent="0.55000000000000004">
      <c r="A16" s="20" t="s">
        <v>30</v>
      </c>
      <c r="B16" s="21" t="s">
        <v>31</v>
      </c>
      <c r="C16" s="15" t="s">
        <v>32</v>
      </c>
      <c r="D16" s="22" t="s">
        <v>33</v>
      </c>
    </row>
    <row r="17" spans="1:4" ht="30.75" customHeight="1" x14ac:dyDescent="0.55000000000000004">
      <c r="A17" s="20" t="s">
        <v>34</v>
      </c>
      <c r="B17" s="21" t="s">
        <v>35</v>
      </c>
      <c r="C17" s="15" t="s">
        <v>36</v>
      </c>
      <c r="D17" s="22" t="s">
        <v>37</v>
      </c>
    </row>
    <row r="18" spans="1:4" ht="19.5" customHeight="1" x14ac:dyDescent="0.55000000000000004">
      <c r="A18" s="20" t="s">
        <v>38</v>
      </c>
      <c r="B18" s="21" t="s">
        <v>39</v>
      </c>
      <c r="C18" s="15" t="s">
        <v>40</v>
      </c>
      <c r="D18" s="22" t="s">
        <v>41</v>
      </c>
    </row>
    <row r="19" spans="1:4" ht="30.75" customHeight="1" x14ac:dyDescent="0.55000000000000004">
      <c r="A19" s="20" t="s">
        <v>42</v>
      </c>
      <c r="B19" s="21" t="s">
        <v>43</v>
      </c>
      <c r="C19" s="15" t="s">
        <v>44</v>
      </c>
      <c r="D19" s="22" t="s">
        <v>45</v>
      </c>
    </row>
    <row r="20" spans="1:4" ht="30.75" customHeight="1" x14ac:dyDescent="0.55000000000000004">
      <c r="A20" s="20" t="s">
        <v>46</v>
      </c>
      <c r="B20" s="21" t="s">
        <v>47</v>
      </c>
      <c r="C20" s="15" t="s">
        <v>48</v>
      </c>
      <c r="D20" s="22" t="s">
        <v>49</v>
      </c>
    </row>
    <row r="21" spans="1:4" ht="30.75" customHeight="1" x14ac:dyDescent="0.55000000000000004">
      <c r="A21" s="20" t="s">
        <v>50</v>
      </c>
      <c r="B21" s="21" t="s">
        <v>51</v>
      </c>
      <c r="C21" s="15" t="s">
        <v>52</v>
      </c>
      <c r="D21" s="22" t="s">
        <v>53</v>
      </c>
    </row>
    <row r="22" spans="1:4" ht="19.5" customHeight="1" x14ac:dyDescent="0.55000000000000004">
      <c r="A22" s="20" t="s">
        <v>54</v>
      </c>
      <c r="B22" s="21" t="s">
        <v>55</v>
      </c>
      <c r="C22" s="15" t="s">
        <v>56</v>
      </c>
      <c r="D22" s="22" t="s">
        <v>57</v>
      </c>
    </row>
    <row r="23" spans="1:4" ht="30.75" customHeight="1" x14ac:dyDescent="0.55000000000000004">
      <c r="A23" s="20" t="s">
        <v>58</v>
      </c>
      <c r="B23" s="21" t="s">
        <v>59</v>
      </c>
      <c r="C23" s="15" t="s">
        <v>60</v>
      </c>
      <c r="D23" s="22" t="s">
        <v>61</v>
      </c>
    </row>
    <row r="24" spans="1:4" ht="19.5" customHeight="1" x14ac:dyDescent="0.55000000000000004">
      <c r="A24" s="20" t="s">
        <v>62</v>
      </c>
      <c r="B24" s="21" t="s">
        <v>63</v>
      </c>
      <c r="C24" s="15" t="s">
        <v>64</v>
      </c>
      <c r="D24" s="22" t="s">
        <v>65</v>
      </c>
    </row>
    <row r="25" spans="1:4" ht="19.5" customHeight="1" x14ac:dyDescent="0.55000000000000004">
      <c r="A25" s="20" t="s">
        <v>66</v>
      </c>
      <c r="B25" s="21" t="s">
        <v>67</v>
      </c>
      <c r="C25" s="15" t="s">
        <v>68</v>
      </c>
      <c r="D25" s="22" t="s">
        <v>69</v>
      </c>
    </row>
    <row r="26" spans="1:4" ht="30.75" customHeight="1" x14ac:dyDescent="0.55000000000000004">
      <c r="A26" s="20" t="s">
        <v>70</v>
      </c>
      <c r="B26" s="21" t="s">
        <v>71</v>
      </c>
      <c r="C26" s="15" t="s">
        <v>72</v>
      </c>
      <c r="D26" s="22" t="s">
        <v>73</v>
      </c>
    </row>
    <row r="27" spans="1:4" ht="19.5" customHeight="1" x14ac:dyDescent="0.55000000000000004">
      <c r="A27" s="20" t="s">
        <v>74</v>
      </c>
      <c r="B27" s="21" t="s">
        <v>75</v>
      </c>
      <c r="C27" s="15" t="s">
        <v>76</v>
      </c>
      <c r="D27" s="22" t="s">
        <v>77</v>
      </c>
    </row>
    <row r="28" spans="1:4" ht="19.5" customHeight="1" x14ac:dyDescent="0.55000000000000004">
      <c r="A28" s="20" t="s">
        <v>78</v>
      </c>
      <c r="B28" s="21" t="s">
        <v>79</v>
      </c>
      <c r="C28" s="15" t="s">
        <v>80</v>
      </c>
      <c r="D28" s="22" t="s">
        <v>77</v>
      </c>
    </row>
    <row r="29" spans="1:4" ht="19.5" customHeight="1" x14ac:dyDescent="0.55000000000000004">
      <c r="A29" s="20" t="s">
        <v>81</v>
      </c>
      <c r="B29" s="21" t="s">
        <v>82</v>
      </c>
      <c r="C29" s="15" t="s">
        <v>83</v>
      </c>
      <c r="D29" s="22" t="s">
        <v>84</v>
      </c>
    </row>
    <row r="31" spans="1:4" ht="18" customHeight="1" x14ac:dyDescent="0.55000000000000004">
      <c r="A31" s="9" t="s">
        <v>85</v>
      </c>
      <c r="B31" s="9"/>
      <c r="C31" s="9"/>
      <c r="D31" s="9"/>
    </row>
    <row r="32" spans="1:4" ht="27.75" customHeight="1" x14ac:dyDescent="0.55000000000000004">
      <c r="A32" s="7" t="s">
        <v>86</v>
      </c>
      <c r="B32" s="7"/>
      <c r="C32" s="7"/>
      <c r="D32" s="7"/>
    </row>
    <row r="33" spans="1:4" ht="30.75" customHeight="1" x14ac:dyDescent="0.55000000000000004">
      <c r="A33" s="7" t="s">
        <v>87</v>
      </c>
      <c r="B33" s="7"/>
      <c r="C33" s="7"/>
      <c r="D33" s="7"/>
    </row>
    <row r="34" spans="1:4" ht="30.75" customHeight="1" x14ac:dyDescent="0.55000000000000004">
      <c r="A34" s="7" t="s">
        <v>88</v>
      </c>
      <c r="B34" s="7"/>
      <c r="C34" s="7"/>
      <c r="D34" s="7"/>
    </row>
    <row r="35" spans="1:4" ht="30.75" customHeight="1" x14ac:dyDescent="0.55000000000000004">
      <c r="A35" s="7" t="s">
        <v>89</v>
      </c>
      <c r="B35" s="7"/>
      <c r="C35" s="7"/>
      <c r="D35" s="7"/>
    </row>
    <row r="36" spans="1:4" ht="27.75" customHeight="1" x14ac:dyDescent="0.55000000000000004">
      <c r="A36" s="7" t="s">
        <v>90</v>
      </c>
      <c r="B36" s="7"/>
      <c r="C36" s="7"/>
      <c r="D36" s="7"/>
    </row>
    <row r="37" spans="1:4" ht="30.75" customHeight="1" x14ac:dyDescent="0.55000000000000004">
      <c r="A37" s="7" t="s">
        <v>91</v>
      </c>
      <c r="B37" s="7"/>
      <c r="C37" s="7"/>
      <c r="D37" s="7"/>
    </row>
    <row r="38" spans="1:4" ht="30.75" customHeight="1" x14ac:dyDescent="0.55000000000000004">
      <c r="A38" s="7" t="s">
        <v>92</v>
      </c>
      <c r="B38" s="7"/>
      <c r="C38" s="7"/>
      <c r="D38" s="7"/>
    </row>
  </sheetData>
  <mergeCells count="16">
    <mergeCell ref="A38:D38"/>
    <mergeCell ref="A33:D33"/>
    <mergeCell ref="A34:D34"/>
    <mergeCell ref="A35:D35"/>
    <mergeCell ref="A36:D36"/>
    <mergeCell ref="A37:D37"/>
    <mergeCell ref="B7:D7"/>
    <mergeCell ref="B8:D8"/>
    <mergeCell ref="B9:D9"/>
    <mergeCell ref="A31:D31"/>
    <mergeCell ref="A32:D32"/>
    <mergeCell ref="A1:D1"/>
    <mergeCell ref="A2:D2"/>
    <mergeCell ref="A3:D3"/>
    <mergeCell ref="A5:D5"/>
    <mergeCell ref="B6:D6"/>
  </mergeCells>
  <hyperlinks>
    <hyperlink ref="B12" r:id="rId1" location="'FA-01%20Payment%20Voucher%20(PV)'!A1" xr:uid="{00000000-0004-0000-0000-000000000000}"/>
    <hyperlink ref="B13" r:id="rId2" location="'FA-02%20Receipt%20Voucher%20(RV)'!A1" xr:uid="{00000000-0004-0000-0000-000001000000}"/>
    <hyperlink ref="B14" r:id="rId3" location="'FA-03%20Journal%20Voucher%20(JV)'!A1" xr:uid="{00000000-0004-0000-0000-000002000000}"/>
    <hyperlink ref="B15" r:id="rId4" location="'FA-04%20Voucher%20Data%20Fields'!A1" xr:uid="{00000000-0004-0000-0000-000003000000}"/>
    <hyperlink ref="B16" r:id="rId5" location="'FA-05%20Bank%20Stmt%20Import'!A1" xr:uid="{00000000-0004-0000-0000-000004000000}"/>
    <hyperlink ref="B17" r:id="rId6" location="'FA-06%20Bank%20Reconciliation'!A1" xr:uid="{00000000-0004-0000-0000-000005000000}"/>
    <hyperlink ref="B18" r:id="rId7" location="'FA-07%20Bulk%20Import'!A1" xr:uid="{00000000-0004-0000-0000-000006000000}"/>
    <hyperlink ref="B19" r:id="rId8" location="'FA-08%20Revenue%20Recognition'!A1" xr:uid="{00000000-0004-0000-0000-000007000000}"/>
    <hyperlink ref="B20" r:id="rId9" location="'FA-09%20Purchase%20Budget%20Check'!A1" xr:uid="{00000000-0004-0000-0000-000008000000}"/>
    <hyperlink ref="B21" r:id="rId10" location="'FA-10%20IC%20Verification'!A1" xr:uid="{00000000-0004-0000-0000-000009000000}"/>
    <hyperlink ref="B22" r:id="rId11" location="'FA-11%20Correction%20Request'!A1" xr:uid="{00000000-0004-0000-0000-00000A000000}"/>
    <hyperlink ref="B23" r:id="rId12" location="'FA-12%20Fiscal%20Periods'!A1" xr:uid="{00000000-0004-0000-0000-00000B000000}"/>
    <hyperlink ref="B24" r:id="rId13" location="'FA-13%20Period-End%20Closing'!A1" xr:uid="{00000000-0004-0000-0000-00000C000000}"/>
    <hyperlink ref="B25" r:id="rId14" location="'FA-14%20Chart%20of%20Accounts'!A1" xr:uid="{00000000-0004-0000-0000-00000D000000}"/>
    <hyperlink ref="B26" r:id="rId15" location="'FA-15%20Accounting%20Entries'!A1" xr:uid="{00000000-0004-0000-0000-00000E000000}"/>
    <hyperlink ref="B27" r:id="rId16" location="'FA-16%20Report%20Standard'!A1" xr:uid="{00000000-0004-0000-0000-00000F000000}"/>
    <hyperlink ref="B28" r:id="rId17" location="'FA-17%20Reports%20Spec'!A1" xr:uid="{00000000-0004-0000-0000-000010000000}"/>
    <hyperlink ref="B29" r:id="rId18" location="'FA-18%20Control%20Log'!A1" xr:uid="{00000000-0004-0000-0000-000011000000}"/>
  </hyperlinks>
  <pageMargins left="0.5" right="0.5" top="1" bottom="1" header="0.511811023622047" footer="0.5"/>
  <pageSetup paperSize="9" fitToHeight="0" orientation="landscape" horizontalDpi="300" verticalDpi="300"/>
  <headerFooter>
    <oddFooter>&amp;LIndex | Crest Point Consulting Group&amp;CPage &amp;P of &amp;N&amp;RStrictly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F43"/>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93</v>
      </c>
      <c r="B1" s="6"/>
      <c r="C1" s="5" t="s">
        <v>0</v>
      </c>
      <c r="D1" s="5"/>
      <c r="E1" s="5"/>
      <c r="F1" s="5"/>
    </row>
    <row r="2" spans="1:6" ht="21.75" customHeight="1" x14ac:dyDescent="0.55000000000000004">
      <c r="A2" s="6"/>
      <c r="B2" s="6"/>
      <c r="C2" s="4" t="s">
        <v>94</v>
      </c>
      <c r="D2" s="4"/>
      <c r="E2" s="4"/>
      <c r="F2" s="4"/>
    </row>
    <row r="3" spans="1:6" ht="21.75" customHeight="1" x14ac:dyDescent="0.55000000000000004">
      <c r="A3" s="6"/>
      <c r="B3" s="6"/>
      <c r="C3" s="3" t="s">
        <v>95</v>
      </c>
      <c r="D3" s="3"/>
      <c r="E3" s="3"/>
      <c r="F3" s="3"/>
    </row>
    <row r="5" spans="1:6" ht="19.5" customHeight="1" x14ac:dyDescent="0.55000000000000004">
      <c r="A5" s="9" t="s">
        <v>96</v>
      </c>
      <c r="B5" s="9"/>
      <c r="C5" s="23" t="s">
        <v>97</v>
      </c>
      <c r="D5" s="13" t="s">
        <v>98</v>
      </c>
      <c r="E5" s="2">
        <v>46306</v>
      </c>
      <c r="F5" s="2"/>
    </row>
    <row r="6" spans="1:6" ht="19.5" customHeight="1" x14ac:dyDescent="0.55000000000000004">
      <c r="A6" s="9" t="s">
        <v>99</v>
      </c>
      <c r="B6" s="9"/>
      <c r="C6" s="23" t="s">
        <v>100</v>
      </c>
      <c r="D6" s="13" t="s">
        <v>101</v>
      </c>
      <c r="E6" s="1" t="s">
        <v>102</v>
      </c>
      <c r="F6" s="1"/>
    </row>
    <row r="7" spans="1:6" ht="19.5" customHeight="1" x14ac:dyDescent="0.55000000000000004">
      <c r="A7" s="9" t="s">
        <v>103</v>
      </c>
      <c r="B7" s="9"/>
      <c r="C7" s="25" t="s">
        <v>104</v>
      </c>
      <c r="D7" s="13" t="s">
        <v>105</v>
      </c>
      <c r="E7" s="39" t="s">
        <v>106</v>
      </c>
      <c r="F7" s="39"/>
    </row>
    <row r="8" spans="1:6" ht="19.5" customHeight="1" x14ac:dyDescent="0.55000000000000004">
      <c r="A8" s="9" t="s">
        <v>107</v>
      </c>
      <c r="B8" s="9"/>
      <c r="C8" s="25" t="s">
        <v>108</v>
      </c>
      <c r="D8" s="13" t="s">
        <v>109</v>
      </c>
      <c r="E8" s="39" t="s">
        <v>110</v>
      </c>
      <c r="F8" s="39"/>
    </row>
    <row r="9" spans="1:6" ht="19.5" customHeight="1" x14ac:dyDescent="0.55000000000000004">
      <c r="A9" s="9" t="s">
        <v>111</v>
      </c>
      <c r="B9" s="9"/>
      <c r="C9" s="25" t="s">
        <v>112</v>
      </c>
      <c r="D9" s="13" t="s">
        <v>113</v>
      </c>
      <c r="E9" s="1" t="s">
        <v>114</v>
      </c>
      <c r="F9" s="1"/>
    </row>
    <row r="10" spans="1:6" ht="19.5" customHeight="1" x14ac:dyDescent="0.55000000000000004">
      <c r="A10" s="9" t="s">
        <v>115</v>
      </c>
      <c r="B10" s="9"/>
      <c r="C10" s="23" t="s">
        <v>116</v>
      </c>
      <c r="D10" s="13" t="s">
        <v>117</v>
      </c>
      <c r="E10" s="1" t="s">
        <v>118</v>
      </c>
      <c r="F10" s="1"/>
    </row>
    <row r="11" spans="1:6" ht="19.5" customHeight="1" x14ac:dyDescent="0.55000000000000004">
      <c r="A11" s="9" t="s">
        <v>119</v>
      </c>
      <c r="B11" s="9"/>
      <c r="C11" s="25" t="s">
        <v>120</v>
      </c>
      <c r="D11" s="13" t="s">
        <v>121</v>
      </c>
      <c r="E11" s="1" t="s">
        <v>122</v>
      </c>
      <c r="F11" s="1"/>
    </row>
    <row r="13" spans="1:6" ht="30" customHeight="1" x14ac:dyDescent="0.55000000000000004">
      <c r="A13" s="19" t="s">
        <v>123</v>
      </c>
      <c r="B13" s="19" t="s">
        <v>124</v>
      </c>
      <c r="C13" s="19" t="s">
        <v>125</v>
      </c>
      <c r="D13" s="19" t="s">
        <v>126</v>
      </c>
      <c r="E13" s="19" t="s">
        <v>127</v>
      </c>
      <c r="F13" s="19" t="s">
        <v>128</v>
      </c>
    </row>
    <row r="14" spans="1:6" ht="19.5" customHeight="1" x14ac:dyDescent="0.55000000000000004">
      <c r="A14" s="20">
        <v>1</v>
      </c>
      <c r="B14" s="14">
        <v>2110</v>
      </c>
      <c r="C14" s="25" t="s">
        <v>129</v>
      </c>
      <c r="D14" s="25" t="s">
        <v>130</v>
      </c>
      <c r="E14" s="26">
        <v>85000</v>
      </c>
      <c r="F14" s="26"/>
    </row>
    <row r="15" spans="1:6" ht="19.5" customHeight="1" x14ac:dyDescent="0.55000000000000004">
      <c r="A15" s="20">
        <v>2</v>
      </c>
      <c r="B15" s="16">
        <v>1130</v>
      </c>
      <c r="C15" s="23" t="s">
        <v>131</v>
      </c>
      <c r="D15" s="23" t="s">
        <v>132</v>
      </c>
      <c r="E15" s="27"/>
      <c r="F15" s="27">
        <v>85000</v>
      </c>
    </row>
    <row r="16" spans="1:6" ht="19.5" customHeight="1" x14ac:dyDescent="0.55000000000000004">
      <c r="A16" s="20">
        <v>3</v>
      </c>
      <c r="B16" s="15"/>
      <c r="C16" s="15"/>
      <c r="D16" s="15"/>
      <c r="E16" s="28"/>
      <c r="F16" s="28"/>
    </row>
    <row r="17" spans="1:6" ht="19.5" customHeight="1" x14ac:dyDescent="0.55000000000000004">
      <c r="A17" s="20">
        <v>4</v>
      </c>
      <c r="B17" s="15"/>
      <c r="C17" s="15"/>
      <c r="D17" s="15"/>
      <c r="E17" s="28"/>
      <c r="F17" s="28"/>
    </row>
    <row r="18" spans="1:6" ht="19.5" customHeight="1" x14ac:dyDescent="0.55000000000000004">
      <c r="A18" s="20">
        <v>5</v>
      </c>
      <c r="B18" s="15"/>
      <c r="C18" s="15"/>
      <c r="D18" s="15"/>
      <c r="E18" s="28"/>
      <c r="F18" s="28"/>
    </row>
    <row r="19" spans="1:6" ht="19.5" customHeight="1" x14ac:dyDescent="0.55000000000000004">
      <c r="A19" s="20">
        <v>6</v>
      </c>
      <c r="B19" s="15"/>
      <c r="C19" s="15"/>
      <c r="D19" s="15"/>
      <c r="E19" s="28"/>
      <c r="F19" s="28"/>
    </row>
    <row r="20" spans="1:6" ht="18" customHeight="1" x14ac:dyDescent="0.55000000000000004">
      <c r="A20" s="40" t="s">
        <v>133</v>
      </c>
      <c r="B20" s="40"/>
      <c r="C20" s="40"/>
      <c r="D20" s="40"/>
      <c r="E20" s="29">
        <f>SUM(E14:E19)</f>
        <v>85000</v>
      </c>
      <c r="F20" s="29">
        <f>SUM(F14:F19)</f>
        <v>85000</v>
      </c>
    </row>
    <row r="21" spans="1:6" x14ac:dyDescent="0.55000000000000004">
      <c r="A21" s="41" t="str">
        <f>IF(ROUND(E20-F20,2)=0,"BALANCED - total debits equal total credits","OUT OF BALANCE - system hard-blocks submission")</f>
        <v>BALANCED - total debits equal total credits</v>
      </c>
      <c r="B21" s="41"/>
      <c r="C21" s="41"/>
      <c r="D21" s="41"/>
      <c r="E21" s="41"/>
      <c r="F21" s="41"/>
    </row>
    <row r="23" spans="1:6" ht="18" customHeight="1" x14ac:dyDescent="0.55000000000000004">
      <c r="A23" s="9" t="s">
        <v>134</v>
      </c>
      <c r="B23" s="9"/>
      <c r="C23" s="1" t="s">
        <v>135</v>
      </c>
      <c r="D23" s="1"/>
      <c r="E23" s="1"/>
      <c r="F23" s="1"/>
    </row>
    <row r="24" spans="1:6" ht="105.75" customHeight="1" x14ac:dyDescent="0.55000000000000004">
      <c r="A24" s="9" t="s">
        <v>136</v>
      </c>
      <c r="B24" s="9"/>
      <c r="C24" s="42" t="s">
        <v>137</v>
      </c>
      <c r="D24" s="42"/>
      <c r="E24" s="42"/>
      <c r="F24" s="42"/>
    </row>
    <row r="25" spans="1:6" ht="19.5" customHeight="1" x14ac:dyDescent="0.55000000000000004">
      <c r="A25" s="9"/>
      <c r="B25" s="9"/>
      <c r="C25" s="42"/>
      <c r="D25" s="42"/>
      <c r="E25" s="42"/>
      <c r="F25" s="42"/>
    </row>
    <row r="26" spans="1:6" ht="19.5" customHeight="1" x14ac:dyDescent="0.55000000000000004">
      <c r="A26" s="9"/>
      <c r="B26" s="9"/>
      <c r="C26" s="42"/>
      <c r="D26" s="42"/>
      <c r="E26" s="42"/>
      <c r="F26" s="42"/>
    </row>
    <row r="28" spans="1:6" ht="31.5" customHeight="1" x14ac:dyDescent="0.55000000000000004">
      <c r="A28" s="9" t="s">
        <v>138</v>
      </c>
      <c r="B28" s="9"/>
      <c r="C28" s="39" t="s">
        <v>139</v>
      </c>
      <c r="D28" s="39"/>
      <c r="E28" s="39"/>
      <c r="F28" s="39"/>
    </row>
    <row r="29" spans="1:6" ht="43.5" customHeight="1" x14ac:dyDescent="0.55000000000000004">
      <c r="A29" s="9" t="s">
        <v>140</v>
      </c>
      <c r="B29" s="9"/>
      <c r="C29" s="39"/>
      <c r="D29" s="39"/>
      <c r="E29" s="39"/>
      <c r="F29" s="39"/>
    </row>
    <row r="31" spans="1:6" ht="30.75" customHeight="1" x14ac:dyDescent="0.55000000000000004">
      <c r="A31" s="43" t="s">
        <v>141</v>
      </c>
      <c r="B31" s="43"/>
      <c r="C31" s="43"/>
      <c r="D31" s="30" t="s">
        <v>142</v>
      </c>
      <c r="E31" s="43" t="s">
        <v>143</v>
      </c>
      <c r="F31" s="43"/>
    </row>
    <row r="32" spans="1:6" ht="19.5" customHeight="1" x14ac:dyDescent="0.55000000000000004">
      <c r="A32" s="8" t="s">
        <v>144</v>
      </c>
      <c r="B32" s="8"/>
      <c r="C32" s="8"/>
      <c r="D32" s="15" t="s">
        <v>144</v>
      </c>
      <c r="E32" s="8" t="s">
        <v>144</v>
      </c>
      <c r="F32" s="8"/>
    </row>
    <row r="33" spans="1:6" ht="19.5" customHeight="1" x14ac:dyDescent="0.55000000000000004">
      <c r="A33" s="8" t="s">
        <v>145</v>
      </c>
      <c r="B33" s="8"/>
      <c r="C33" s="8"/>
      <c r="D33" s="15" t="s">
        <v>145</v>
      </c>
      <c r="E33" s="8" t="s">
        <v>145</v>
      </c>
      <c r="F33" s="8"/>
    </row>
    <row r="34" spans="1:6" ht="43.5" customHeight="1" x14ac:dyDescent="0.55000000000000004">
      <c r="A34" s="44" t="s">
        <v>146</v>
      </c>
      <c r="B34" s="44"/>
      <c r="C34" s="44"/>
      <c r="D34" s="31" t="s">
        <v>146</v>
      </c>
      <c r="E34" s="44" t="s">
        <v>146</v>
      </c>
      <c r="F34" s="44"/>
    </row>
    <row r="35" spans="1:6" ht="19.5" customHeight="1" x14ac:dyDescent="0.55000000000000004">
      <c r="A35" s="8" t="s">
        <v>147</v>
      </c>
      <c r="B35" s="8"/>
      <c r="C35" s="8"/>
      <c r="D35" s="15" t="s">
        <v>147</v>
      </c>
      <c r="E35" s="8" t="s">
        <v>147</v>
      </c>
      <c r="F35" s="8"/>
    </row>
    <row r="37" spans="1:6" ht="18" customHeight="1" x14ac:dyDescent="0.55000000000000004">
      <c r="A37" s="9" t="s">
        <v>148</v>
      </c>
      <c r="B37" s="9"/>
      <c r="C37" s="9"/>
      <c r="D37" s="9"/>
      <c r="E37" s="9"/>
      <c r="F37" s="9"/>
    </row>
    <row r="38" spans="1:6" ht="30.75" customHeight="1" x14ac:dyDescent="0.55000000000000004">
      <c r="A38" s="7" t="s">
        <v>149</v>
      </c>
      <c r="B38" s="7"/>
      <c r="C38" s="7"/>
      <c r="D38" s="7"/>
      <c r="E38" s="7"/>
      <c r="F38" s="7"/>
    </row>
    <row r="39" spans="1:6" ht="43.5" customHeight="1" x14ac:dyDescent="0.55000000000000004">
      <c r="A39" s="7" t="s">
        <v>150</v>
      </c>
      <c r="B39" s="7"/>
      <c r="C39" s="7"/>
      <c r="D39" s="7"/>
      <c r="E39" s="7"/>
      <c r="F39" s="7"/>
    </row>
    <row r="40" spans="1:6" ht="30.75" customHeight="1" x14ac:dyDescent="0.55000000000000004">
      <c r="A40" s="7" t="s">
        <v>151</v>
      </c>
      <c r="B40" s="7"/>
      <c r="C40" s="7"/>
      <c r="D40" s="7"/>
      <c r="E40" s="7"/>
      <c r="F40" s="7"/>
    </row>
    <row r="41" spans="1:6" ht="30.75" customHeight="1" x14ac:dyDescent="0.55000000000000004">
      <c r="A41" s="7" t="s">
        <v>152</v>
      </c>
      <c r="B41" s="7"/>
      <c r="C41" s="7"/>
      <c r="D41" s="7"/>
      <c r="E41" s="7"/>
      <c r="F41" s="7"/>
    </row>
    <row r="42" spans="1:6" ht="43.5" customHeight="1" x14ac:dyDescent="0.55000000000000004">
      <c r="A42" s="7" t="s">
        <v>153</v>
      </c>
      <c r="B42" s="7"/>
      <c r="C42" s="7"/>
      <c r="D42" s="7"/>
      <c r="E42" s="7"/>
      <c r="F42" s="7"/>
    </row>
    <row r="43" spans="1:6" ht="27.75" customHeight="1" x14ac:dyDescent="0.55000000000000004">
      <c r="A43" s="7" t="s">
        <v>154</v>
      </c>
      <c r="B43" s="7"/>
      <c r="C43" s="7"/>
      <c r="D43" s="7"/>
      <c r="E43" s="7"/>
      <c r="F43" s="7"/>
    </row>
  </sheetData>
  <mergeCells count="45">
    <mergeCell ref="A40:F40"/>
    <mergeCell ref="A41:F41"/>
    <mergeCell ref="A42:F42"/>
    <mergeCell ref="A43:F43"/>
    <mergeCell ref="A35:C35"/>
    <mergeCell ref="E35:F35"/>
    <mergeCell ref="A37:F37"/>
    <mergeCell ref="A38:F38"/>
    <mergeCell ref="A39:F39"/>
    <mergeCell ref="A32:C32"/>
    <mergeCell ref="E32:F32"/>
    <mergeCell ref="A33:C33"/>
    <mergeCell ref="E33:F33"/>
    <mergeCell ref="A34:C34"/>
    <mergeCell ref="E34:F34"/>
    <mergeCell ref="A28:B28"/>
    <mergeCell ref="C28:F28"/>
    <mergeCell ref="A29:B29"/>
    <mergeCell ref="C29:F29"/>
    <mergeCell ref="A31:C31"/>
    <mergeCell ref="E31:F31"/>
    <mergeCell ref="A20:D20"/>
    <mergeCell ref="A21:F21"/>
    <mergeCell ref="A23:B23"/>
    <mergeCell ref="C23:F23"/>
    <mergeCell ref="A24:B26"/>
    <mergeCell ref="C24:F26"/>
    <mergeCell ref="A9:B9"/>
    <mergeCell ref="E9:F9"/>
    <mergeCell ref="A10:B10"/>
    <mergeCell ref="E10:F10"/>
    <mergeCell ref="A11:B11"/>
    <mergeCell ref="E11:F11"/>
    <mergeCell ref="A6:B6"/>
    <mergeCell ref="E6:F6"/>
    <mergeCell ref="A7:B7"/>
    <mergeCell ref="E7:F7"/>
    <mergeCell ref="A8:B8"/>
    <mergeCell ref="E8:F8"/>
    <mergeCell ref="A1:B3"/>
    <mergeCell ref="C1:F1"/>
    <mergeCell ref="C2:F2"/>
    <mergeCell ref="C3:F3"/>
    <mergeCell ref="A5:B5"/>
    <mergeCell ref="E5:F5"/>
  </mergeCells>
  <dataValidations count="4">
    <dataValidation type="list" allowBlank="1" sqref="C7" xr:uid="{00000000-0002-0000-0100-000000000000}">
      <formula1>"Cash,Bank Transfer,Cheque"</formula1>
      <formula2>0</formula2>
    </dataValidation>
    <dataValidation type="list" allowBlank="1" sqref="C8" xr:uid="{00000000-0002-0000-0100-000001000000}">
      <formula1>"Supplier,Customer,Employee,Other"</formula1>
      <formula2>0</formula2>
    </dataValidation>
    <dataValidation type="list" allowBlank="1" sqref="C11" xr:uid="{00000000-0002-0000-0100-000002000000}">
      <formula1>"Manual,Automated,Bulk import"</formula1>
      <formula2>0</formula2>
    </dataValidation>
    <dataValidation type="list" allowBlank="1" sqref="E10" xr:uid="{00000000-0002-0000-0100-000003000000}">
      <formula1>"Pending,Verified,Rejected"</formula1>
      <formula2>0</formula2>
    </dataValidation>
  </dataValidations>
  <pageMargins left="0.5" right="0.5" top="1" bottom="1" header="0.511811023622047" footer="0.5"/>
  <pageSetup paperSize="9" scale="74" fitToHeight="0" orientation="portrait" horizontalDpi="300" verticalDpi="300" r:id="rId1"/>
  <headerFooter>
    <oddFooter>&amp;LFA-01 PV | Crest Point Consulting Group&amp;CPage &amp;P of &amp;N&amp;RStrictly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F43"/>
  <sheetViews>
    <sheetView showGridLines="0" zoomScaleNormal="100" workbookViewId="0">
      <selection activeCell="A4" sqref="A4"/>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93</v>
      </c>
      <c r="B1" s="6"/>
      <c r="C1" s="5" t="s">
        <v>0</v>
      </c>
      <c r="D1" s="5"/>
      <c r="E1" s="5"/>
      <c r="F1" s="5"/>
    </row>
    <row r="2" spans="1:6" ht="21.75" customHeight="1" x14ac:dyDescent="0.55000000000000004">
      <c r="A2" s="6"/>
      <c r="B2" s="6"/>
      <c r="C2" s="4" t="s">
        <v>155</v>
      </c>
      <c r="D2" s="4"/>
      <c r="E2" s="4"/>
      <c r="F2" s="4"/>
    </row>
    <row r="3" spans="1:6" ht="21.75" customHeight="1" x14ac:dyDescent="0.55000000000000004">
      <c r="A3" s="6"/>
      <c r="B3" s="6"/>
      <c r="C3" s="3" t="s">
        <v>156</v>
      </c>
      <c r="D3" s="3"/>
      <c r="E3" s="3"/>
      <c r="F3" s="3"/>
    </row>
    <row r="5" spans="1:6" ht="19.5" customHeight="1" x14ac:dyDescent="0.55000000000000004">
      <c r="A5" s="9" t="s">
        <v>96</v>
      </c>
      <c r="B5" s="9"/>
      <c r="C5" s="23" t="s">
        <v>157</v>
      </c>
      <c r="D5" s="13" t="s">
        <v>98</v>
      </c>
      <c r="E5" s="2">
        <v>46306</v>
      </c>
      <c r="F5" s="2"/>
    </row>
    <row r="6" spans="1:6" ht="19.5" customHeight="1" x14ac:dyDescent="0.55000000000000004">
      <c r="A6" s="9" t="s">
        <v>99</v>
      </c>
      <c r="B6" s="9"/>
      <c r="C6" s="23" t="s">
        <v>158</v>
      </c>
      <c r="D6" s="13" t="s">
        <v>101</v>
      </c>
      <c r="E6" s="1" t="s">
        <v>102</v>
      </c>
      <c r="F6" s="1"/>
    </row>
    <row r="7" spans="1:6" ht="30.75" customHeight="1" x14ac:dyDescent="0.55000000000000004">
      <c r="A7" s="9" t="s">
        <v>159</v>
      </c>
      <c r="B7" s="9"/>
      <c r="C7" s="25" t="s">
        <v>104</v>
      </c>
      <c r="D7" s="13" t="s">
        <v>105</v>
      </c>
      <c r="E7" s="39" t="s">
        <v>160</v>
      </c>
      <c r="F7" s="39"/>
    </row>
    <row r="8" spans="1:6" ht="19.5" customHeight="1" x14ac:dyDescent="0.55000000000000004">
      <c r="A8" s="9" t="s">
        <v>161</v>
      </c>
      <c r="B8" s="9"/>
      <c r="C8" s="25" t="s">
        <v>162</v>
      </c>
      <c r="D8" s="13" t="s">
        <v>163</v>
      </c>
      <c r="E8" s="39" t="s">
        <v>164</v>
      </c>
      <c r="F8" s="39"/>
    </row>
    <row r="9" spans="1:6" ht="30.75" customHeight="1" x14ac:dyDescent="0.55000000000000004">
      <c r="A9" s="9" t="s">
        <v>111</v>
      </c>
      <c r="B9" s="9"/>
      <c r="C9" s="25" t="s">
        <v>165</v>
      </c>
      <c r="D9" s="13" t="s">
        <v>113</v>
      </c>
      <c r="E9" s="45" t="s">
        <v>166</v>
      </c>
      <c r="F9" s="45"/>
    </row>
    <row r="10" spans="1:6" ht="30.75" customHeight="1" x14ac:dyDescent="0.55000000000000004">
      <c r="A10" s="9" t="s">
        <v>115</v>
      </c>
      <c r="B10" s="9"/>
      <c r="C10" s="23" t="s">
        <v>167</v>
      </c>
      <c r="D10" s="13" t="s">
        <v>117</v>
      </c>
      <c r="E10" s="45" t="s">
        <v>168</v>
      </c>
      <c r="F10" s="45"/>
    </row>
    <row r="11" spans="1:6" ht="19.5" customHeight="1" x14ac:dyDescent="0.55000000000000004">
      <c r="A11" s="9" t="s">
        <v>119</v>
      </c>
      <c r="B11" s="9"/>
      <c r="C11" s="25" t="s">
        <v>120</v>
      </c>
      <c r="D11" s="13" t="s">
        <v>121</v>
      </c>
      <c r="E11" s="1" t="s">
        <v>122</v>
      </c>
      <c r="F11" s="1"/>
    </row>
    <row r="13" spans="1:6" ht="30" customHeight="1" x14ac:dyDescent="0.55000000000000004">
      <c r="A13" s="19" t="s">
        <v>123</v>
      </c>
      <c r="B13" s="19" t="s">
        <v>124</v>
      </c>
      <c r="C13" s="19" t="s">
        <v>125</v>
      </c>
      <c r="D13" s="19" t="s">
        <v>126</v>
      </c>
      <c r="E13" s="19" t="s">
        <v>127</v>
      </c>
      <c r="F13" s="19" t="s">
        <v>128</v>
      </c>
    </row>
    <row r="14" spans="1:6" ht="30.75" customHeight="1" x14ac:dyDescent="0.55000000000000004">
      <c r="A14" s="20">
        <v>1</v>
      </c>
      <c r="B14" s="16">
        <v>1120</v>
      </c>
      <c r="C14" s="23" t="s">
        <v>169</v>
      </c>
      <c r="D14" s="23" t="s">
        <v>132</v>
      </c>
      <c r="E14" s="27">
        <v>2500000</v>
      </c>
      <c r="F14" s="27"/>
    </row>
    <row r="15" spans="1:6" ht="30.75" customHeight="1" x14ac:dyDescent="0.55000000000000004">
      <c r="A15" s="20">
        <v>2</v>
      </c>
      <c r="B15" s="14">
        <v>2210</v>
      </c>
      <c r="C15" s="25" t="s">
        <v>170</v>
      </c>
      <c r="D15" s="25" t="s">
        <v>171</v>
      </c>
      <c r="E15" s="26"/>
      <c r="F15" s="26">
        <v>2500000</v>
      </c>
    </row>
    <row r="16" spans="1:6" ht="19.5" customHeight="1" x14ac:dyDescent="0.55000000000000004">
      <c r="A16" s="20">
        <v>3</v>
      </c>
      <c r="B16" s="15"/>
      <c r="C16" s="15"/>
      <c r="D16" s="15"/>
      <c r="E16" s="28"/>
      <c r="F16" s="28"/>
    </row>
    <row r="17" spans="1:6" ht="19.5" customHeight="1" x14ac:dyDescent="0.55000000000000004">
      <c r="A17" s="20">
        <v>4</v>
      </c>
      <c r="B17" s="15"/>
      <c r="C17" s="15"/>
      <c r="D17" s="15"/>
      <c r="E17" s="28"/>
      <c r="F17" s="28"/>
    </row>
    <row r="18" spans="1:6" ht="19.5" customHeight="1" x14ac:dyDescent="0.55000000000000004">
      <c r="A18" s="20">
        <v>5</v>
      </c>
      <c r="B18" s="15"/>
      <c r="C18" s="15"/>
      <c r="D18" s="15"/>
      <c r="E18" s="28"/>
      <c r="F18" s="28"/>
    </row>
    <row r="19" spans="1:6" ht="19.5" customHeight="1" x14ac:dyDescent="0.55000000000000004">
      <c r="A19" s="20">
        <v>6</v>
      </c>
      <c r="B19" s="15"/>
      <c r="C19" s="15"/>
      <c r="D19" s="15"/>
      <c r="E19" s="28"/>
      <c r="F19" s="28"/>
    </row>
    <row r="20" spans="1:6" ht="18" customHeight="1" x14ac:dyDescent="0.55000000000000004">
      <c r="A20" s="40" t="s">
        <v>133</v>
      </c>
      <c r="B20" s="40"/>
      <c r="C20" s="40"/>
      <c r="D20" s="40"/>
      <c r="E20" s="29">
        <f>SUM(E14:E19)</f>
        <v>2500000</v>
      </c>
      <c r="F20" s="29">
        <f>SUM(F14:F19)</f>
        <v>2500000</v>
      </c>
    </row>
    <row r="21" spans="1:6" x14ac:dyDescent="0.55000000000000004">
      <c r="A21" s="41" t="str">
        <f>IF(ROUND(E20-F20,2)=0,"BALANCED - total debits equal total credits","OUT OF BALANCE - system hard-blocks submission")</f>
        <v>BALANCED - total debits equal total credits</v>
      </c>
      <c r="B21" s="41"/>
      <c r="C21" s="41"/>
      <c r="D21" s="41"/>
      <c r="E21" s="41"/>
      <c r="F21" s="41"/>
    </row>
    <row r="23" spans="1:6" ht="18" customHeight="1" x14ac:dyDescent="0.55000000000000004">
      <c r="A23" s="9" t="s">
        <v>134</v>
      </c>
      <c r="B23" s="9"/>
      <c r="C23" s="1" t="s">
        <v>172</v>
      </c>
      <c r="D23" s="1"/>
      <c r="E23" s="1"/>
      <c r="F23" s="1"/>
    </row>
    <row r="24" spans="1:6" ht="105.75" customHeight="1" x14ac:dyDescent="0.55000000000000004">
      <c r="A24" s="9" t="s">
        <v>136</v>
      </c>
      <c r="B24" s="9"/>
      <c r="C24" s="42" t="s">
        <v>173</v>
      </c>
      <c r="D24" s="42"/>
      <c r="E24" s="42"/>
      <c r="F24" s="42"/>
    </row>
    <row r="25" spans="1:6" ht="19.5" customHeight="1" x14ac:dyDescent="0.55000000000000004">
      <c r="A25" s="9"/>
      <c r="B25" s="9"/>
      <c r="C25" s="42"/>
      <c r="D25" s="42"/>
      <c r="E25" s="42"/>
      <c r="F25" s="42"/>
    </row>
    <row r="26" spans="1:6" ht="19.5" customHeight="1" x14ac:dyDescent="0.55000000000000004">
      <c r="A26" s="9"/>
      <c r="B26" s="9"/>
      <c r="C26" s="42"/>
      <c r="D26" s="42"/>
      <c r="E26" s="42"/>
      <c r="F26" s="42"/>
    </row>
    <row r="28" spans="1:6" ht="31.5" customHeight="1" x14ac:dyDescent="0.55000000000000004">
      <c r="A28" s="9" t="s">
        <v>138</v>
      </c>
      <c r="B28" s="9"/>
      <c r="C28" s="39" t="s">
        <v>174</v>
      </c>
      <c r="D28" s="39"/>
      <c r="E28" s="39"/>
      <c r="F28" s="39"/>
    </row>
    <row r="29" spans="1:6" ht="43.5" customHeight="1" x14ac:dyDescent="0.55000000000000004">
      <c r="A29" s="9" t="s">
        <v>140</v>
      </c>
      <c r="B29" s="9"/>
      <c r="C29" s="39"/>
      <c r="D29" s="39"/>
      <c r="E29" s="39"/>
      <c r="F29" s="39"/>
    </row>
    <row r="31" spans="1:6" ht="30.75" customHeight="1" x14ac:dyDescent="0.55000000000000004">
      <c r="A31" s="43" t="s">
        <v>141</v>
      </c>
      <c r="B31" s="43"/>
      <c r="C31" s="43"/>
      <c r="D31" s="30" t="s">
        <v>142</v>
      </c>
      <c r="E31" s="43" t="s">
        <v>143</v>
      </c>
      <c r="F31" s="43"/>
    </row>
    <row r="32" spans="1:6" ht="19.5" customHeight="1" x14ac:dyDescent="0.55000000000000004">
      <c r="A32" s="8" t="s">
        <v>144</v>
      </c>
      <c r="B32" s="8"/>
      <c r="C32" s="8"/>
      <c r="D32" s="15" t="s">
        <v>144</v>
      </c>
      <c r="E32" s="8" t="s">
        <v>144</v>
      </c>
      <c r="F32" s="8"/>
    </row>
    <row r="33" spans="1:6" ht="19.5" customHeight="1" x14ac:dyDescent="0.55000000000000004">
      <c r="A33" s="8" t="s">
        <v>145</v>
      </c>
      <c r="B33" s="8"/>
      <c r="C33" s="8"/>
      <c r="D33" s="15" t="s">
        <v>145</v>
      </c>
      <c r="E33" s="8" t="s">
        <v>145</v>
      </c>
      <c r="F33" s="8"/>
    </row>
    <row r="34" spans="1:6" ht="43.5" customHeight="1" x14ac:dyDescent="0.55000000000000004">
      <c r="A34" s="44" t="s">
        <v>146</v>
      </c>
      <c r="B34" s="44"/>
      <c r="C34" s="44"/>
      <c r="D34" s="31" t="s">
        <v>146</v>
      </c>
      <c r="E34" s="44" t="s">
        <v>146</v>
      </c>
      <c r="F34" s="44"/>
    </row>
    <row r="35" spans="1:6" ht="19.5" customHeight="1" x14ac:dyDescent="0.55000000000000004">
      <c r="A35" s="8" t="s">
        <v>147</v>
      </c>
      <c r="B35" s="8"/>
      <c r="C35" s="8"/>
      <c r="D35" s="15" t="s">
        <v>147</v>
      </c>
      <c r="E35" s="8" t="s">
        <v>147</v>
      </c>
      <c r="F35" s="8"/>
    </row>
    <row r="37" spans="1:6" ht="18" customHeight="1" x14ac:dyDescent="0.55000000000000004">
      <c r="A37" s="9" t="s">
        <v>148</v>
      </c>
      <c r="B37" s="9"/>
      <c r="C37" s="9"/>
      <c r="D37" s="9"/>
      <c r="E37" s="9"/>
      <c r="F37" s="9"/>
    </row>
    <row r="38" spans="1:6" ht="30.75" customHeight="1" x14ac:dyDescent="0.55000000000000004">
      <c r="A38" s="7" t="s">
        <v>149</v>
      </c>
      <c r="B38" s="7"/>
      <c r="C38" s="7"/>
      <c r="D38" s="7"/>
      <c r="E38" s="7"/>
      <c r="F38" s="7"/>
    </row>
    <row r="39" spans="1:6" ht="43.5" customHeight="1" x14ac:dyDescent="0.55000000000000004">
      <c r="A39" s="7" t="s">
        <v>150</v>
      </c>
      <c r="B39" s="7"/>
      <c r="C39" s="7"/>
      <c r="D39" s="7"/>
      <c r="E39" s="7"/>
      <c r="F39" s="7"/>
    </row>
    <row r="40" spans="1:6" ht="30.75" customHeight="1" x14ac:dyDescent="0.55000000000000004">
      <c r="A40" s="7" t="s">
        <v>151</v>
      </c>
      <c r="B40" s="7"/>
      <c r="C40" s="7"/>
      <c r="D40" s="7"/>
      <c r="E40" s="7"/>
      <c r="F40" s="7"/>
    </row>
    <row r="41" spans="1:6" ht="30.75" customHeight="1" x14ac:dyDescent="0.55000000000000004">
      <c r="A41" s="7" t="s">
        <v>152</v>
      </c>
      <c r="B41" s="7"/>
      <c r="C41" s="7"/>
      <c r="D41" s="7"/>
      <c r="E41" s="7"/>
      <c r="F41" s="7"/>
    </row>
    <row r="42" spans="1:6" ht="30.75" customHeight="1" x14ac:dyDescent="0.55000000000000004">
      <c r="A42" s="7" t="s">
        <v>175</v>
      </c>
      <c r="B42" s="7"/>
      <c r="C42" s="7"/>
      <c r="D42" s="7"/>
      <c r="E42" s="7"/>
      <c r="F42" s="7"/>
    </row>
    <row r="43" spans="1:6" ht="30.75" customHeight="1" x14ac:dyDescent="0.55000000000000004">
      <c r="A43" s="7" t="s">
        <v>176</v>
      </c>
      <c r="B43" s="7"/>
      <c r="C43" s="7"/>
      <c r="D43" s="7"/>
      <c r="E43" s="7"/>
      <c r="F43" s="7"/>
    </row>
  </sheetData>
  <mergeCells count="45">
    <mergeCell ref="A40:F40"/>
    <mergeCell ref="A41:F41"/>
    <mergeCell ref="A42:F42"/>
    <mergeCell ref="A43:F43"/>
    <mergeCell ref="A35:C35"/>
    <mergeCell ref="E35:F35"/>
    <mergeCell ref="A37:F37"/>
    <mergeCell ref="A38:F38"/>
    <mergeCell ref="A39:F39"/>
    <mergeCell ref="A32:C32"/>
    <mergeCell ref="E32:F32"/>
    <mergeCell ref="A33:C33"/>
    <mergeCell ref="E33:F33"/>
    <mergeCell ref="A34:C34"/>
    <mergeCell ref="E34:F34"/>
    <mergeCell ref="A28:B28"/>
    <mergeCell ref="C28:F28"/>
    <mergeCell ref="A29:B29"/>
    <mergeCell ref="C29:F29"/>
    <mergeCell ref="A31:C31"/>
    <mergeCell ref="E31:F31"/>
    <mergeCell ref="A20:D20"/>
    <mergeCell ref="A21:F21"/>
    <mergeCell ref="A23:B23"/>
    <mergeCell ref="C23:F23"/>
    <mergeCell ref="A24:B26"/>
    <mergeCell ref="C24:F26"/>
    <mergeCell ref="A9:B9"/>
    <mergeCell ref="E9:F9"/>
    <mergeCell ref="A10:B10"/>
    <mergeCell ref="E10:F10"/>
    <mergeCell ref="A11:B11"/>
    <mergeCell ref="E11:F11"/>
    <mergeCell ref="A6:B6"/>
    <mergeCell ref="E6:F6"/>
    <mergeCell ref="A7:B7"/>
    <mergeCell ref="E7:F7"/>
    <mergeCell ref="A8:B8"/>
    <mergeCell ref="E8:F8"/>
    <mergeCell ref="A1:B3"/>
    <mergeCell ref="C1:F1"/>
    <mergeCell ref="C2:F2"/>
    <mergeCell ref="C3:F3"/>
    <mergeCell ref="A5:B5"/>
    <mergeCell ref="E5:F5"/>
  </mergeCells>
  <dataValidations count="3">
    <dataValidation type="list" allowBlank="1" sqref="C7" xr:uid="{00000000-0002-0000-0200-000000000000}">
      <formula1>"Cash,Bank Transfer,Cheque"</formula1>
      <formula2>0</formula2>
    </dataValidation>
    <dataValidation type="list" allowBlank="1" sqref="C8" xr:uid="{00000000-0002-0000-0200-000001000000}">
      <formula1>"Customer,Employee,Other"</formula1>
      <formula2>0</formula2>
    </dataValidation>
    <dataValidation type="list" allowBlank="1" sqref="C11" xr:uid="{00000000-0002-0000-0200-000002000000}">
      <formula1>"Manual,Automated,Bulk import"</formula1>
      <formula2>0</formula2>
    </dataValidation>
  </dataValidations>
  <pageMargins left="0.5" right="0.5" top="1" bottom="1" header="0.511811023622047" footer="0.5"/>
  <pageSetup paperSize="9" fitToHeight="0" orientation="portrait" horizontalDpi="300" verticalDpi="300"/>
  <headerFooter>
    <oddFooter>&amp;LFA-02 RV | Crest Point Consulting Group&amp;CPage &amp;P of &amp;N&amp;RStrictly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F43"/>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93</v>
      </c>
      <c r="B1" s="6"/>
      <c r="C1" s="5" t="s">
        <v>0</v>
      </c>
      <c r="D1" s="5"/>
      <c r="E1" s="5"/>
      <c r="F1" s="5"/>
    </row>
    <row r="2" spans="1:6" ht="21.75" customHeight="1" x14ac:dyDescent="0.55000000000000004">
      <c r="A2" s="6"/>
      <c r="B2" s="6"/>
      <c r="C2" s="4" t="s">
        <v>177</v>
      </c>
      <c r="D2" s="4"/>
      <c r="E2" s="4"/>
      <c r="F2" s="4"/>
    </row>
    <row r="3" spans="1:6" ht="21.75" customHeight="1" x14ac:dyDescent="0.55000000000000004">
      <c r="A3" s="6"/>
      <c r="B3" s="6"/>
      <c r="C3" s="3" t="s">
        <v>178</v>
      </c>
      <c r="D3" s="3"/>
      <c r="E3" s="3"/>
      <c r="F3" s="3"/>
    </row>
    <row r="5" spans="1:6" ht="19.5" customHeight="1" x14ac:dyDescent="0.55000000000000004">
      <c r="A5" s="9" t="s">
        <v>96</v>
      </c>
      <c r="B5" s="9"/>
      <c r="C5" s="23" t="s">
        <v>179</v>
      </c>
      <c r="D5" s="13" t="s">
        <v>98</v>
      </c>
      <c r="E5" s="2">
        <v>46306</v>
      </c>
      <c r="F5" s="2"/>
    </row>
    <row r="6" spans="1:6" ht="19.5" customHeight="1" x14ac:dyDescent="0.55000000000000004">
      <c r="A6" s="9" t="s">
        <v>99</v>
      </c>
      <c r="B6" s="9"/>
      <c r="C6" s="23" t="s">
        <v>180</v>
      </c>
      <c r="D6" s="13" t="s">
        <v>101</v>
      </c>
      <c r="E6" s="1" t="s">
        <v>102</v>
      </c>
      <c r="F6" s="1"/>
    </row>
    <row r="7" spans="1:6" ht="19.5" customHeight="1" x14ac:dyDescent="0.55000000000000004">
      <c r="A7" s="9" t="s">
        <v>181</v>
      </c>
      <c r="B7" s="9"/>
      <c r="C7" s="32" t="s">
        <v>182</v>
      </c>
      <c r="D7" s="13" t="s">
        <v>103</v>
      </c>
      <c r="E7" s="45" t="s">
        <v>182</v>
      </c>
      <c r="F7" s="45"/>
    </row>
    <row r="8" spans="1:6" ht="19.5" customHeight="1" x14ac:dyDescent="0.55000000000000004">
      <c r="A8" s="9" t="s">
        <v>105</v>
      </c>
      <c r="B8" s="9"/>
      <c r="C8" s="32" t="s">
        <v>182</v>
      </c>
      <c r="D8" s="13" t="s">
        <v>111</v>
      </c>
      <c r="E8" s="39" t="s">
        <v>183</v>
      </c>
      <c r="F8" s="39"/>
    </row>
    <row r="9" spans="1:6" ht="19.5" customHeight="1" x14ac:dyDescent="0.55000000000000004">
      <c r="A9" s="9" t="s">
        <v>113</v>
      </c>
      <c r="B9" s="9"/>
      <c r="C9" s="32" t="s">
        <v>166</v>
      </c>
      <c r="D9" s="13" t="s">
        <v>119</v>
      </c>
      <c r="E9" s="39" t="s">
        <v>120</v>
      </c>
      <c r="F9" s="39"/>
    </row>
    <row r="10" spans="1:6" ht="30.75" customHeight="1" x14ac:dyDescent="0.55000000000000004">
      <c r="A10" s="9" t="s">
        <v>115</v>
      </c>
      <c r="B10" s="9"/>
      <c r="C10" s="23" t="s">
        <v>167</v>
      </c>
      <c r="D10" s="13" t="s">
        <v>117</v>
      </c>
      <c r="E10" s="45" t="s">
        <v>168</v>
      </c>
      <c r="F10" s="45"/>
    </row>
    <row r="12" spans="1:6" ht="30" customHeight="1" x14ac:dyDescent="0.55000000000000004">
      <c r="A12" s="19" t="s">
        <v>123</v>
      </c>
      <c r="B12" s="19" t="s">
        <v>124</v>
      </c>
      <c r="C12" s="19" t="s">
        <v>125</v>
      </c>
      <c r="D12" s="19" t="s">
        <v>126</v>
      </c>
      <c r="E12" s="19" t="s">
        <v>127</v>
      </c>
      <c r="F12" s="19" t="s">
        <v>128</v>
      </c>
    </row>
    <row r="13" spans="1:6" ht="30.75" customHeight="1" x14ac:dyDescent="0.55000000000000004">
      <c r="A13" s="20">
        <v>1</v>
      </c>
      <c r="B13" s="14">
        <v>6200</v>
      </c>
      <c r="C13" s="25" t="s">
        <v>184</v>
      </c>
      <c r="D13" s="25" t="s">
        <v>185</v>
      </c>
      <c r="E13" s="26">
        <v>45000</v>
      </c>
      <c r="F13" s="26"/>
    </row>
    <row r="14" spans="1:6" ht="30.75" customHeight="1" x14ac:dyDescent="0.55000000000000004">
      <c r="A14" s="20">
        <v>2</v>
      </c>
      <c r="B14" s="14">
        <v>1590</v>
      </c>
      <c r="C14" s="25" t="s">
        <v>186</v>
      </c>
      <c r="D14" s="25" t="s">
        <v>185</v>
      </c>
      <c r="E14" s="26"/>
      <c r="F14" s="26">
        <v>45000</v>
      </c>
    </row>
    <row r="15" spans="1:6" ht="19.5" customHeight="1" x14ac:dyDescent="0.55000000000000004">
      <c r="A15" s="20">
        <v>3</v>
      </c>
      <c r="B15" s="15"/>
      <c r="C15" s="15"/>
      <c r="D15" s="15"/>
      <c r="E15" s="28"/>
      <c r="F15" s="28"/>
    </row>
    <row r="16" spans="1:6" ht="19.5" customHeight="1" x14ac:dyDescent="0.55000000000000004">
      <c r="A16" s="20">
        <v>4</v>
      </c>
      <c r="B16" s="15"/>
      <c r="C16" s="15"/>
      <c r="D16" s="15"/>
      <c r="E16" s="28"/>
      <c r="F16" s="28"/>
    </row>
    <row r="17" spans="1:6" ht="19.5" customHeight="1" x14ac:dyDescent="0.55000000000000004">
      <c r="A17" s="20">
        <v>5</v>
      </c>
      <c r="B17" s="15"/>
      <c r="C17" s="15"/>
      <c r="D17" s="15"/>
      <c r="E17" s="28"/>
      <c r="F17" s="28"/>
    </row>
    <row r="18" spans="1:6" ht="19.5" customHeight="1" x14ac:dyDescent="0.55000000000000004">
      <c r="A18" s="20">
        <v>6</v>
      </c>
      <c r="B18" s="15"/>
      <c r="C18" s="15"/>
      <c r="D18" s="15"/>
      <c r="E18" s="28"/>
      <c r="F18" s="28"/>
    </row>
    <row r="19" spans="1:6" ht="18" customHeight="1" x14ac:dyDescent="0.55000000000000004">
      <c r="A19" s="40" t="s">
        <v>133</v>
      </c>
      <c r="B19" s="40"/>
      <c r="C19" s="40"/>
      <c r="D19" s="40"/>
      <c r="E19" s="29">
        <f>SUM(E13:E18)</f>
        <v>45000</v>
      </c>
      <c r="F19" s="29">
        <f>SUM(F13:F18)</f>
        <v>45000</v>
      </c>
    </row>
    <row r="20" spans="1:6" x14ac:dyDescent="0.55000000000000004">
      <c r="A20" s="41" t="str">
        <f>IF(ROUND(E19-F19,2)=0,"BALANCED - total debits equal total credits","OUT OF BALANCE - system hard-blocks submission")</f>
        <v>BALANCED - total debits equal total credits</v>
      </c>
      <c r="B20" s="41"/>
      <c r="C20" s="41"/>
      <c r="D20" s="41"/>
      <c r="E20" s="41"/>
      <c r="F20" s="41"/>
    </row>
    <row r="22" spans="1:6" ht="18" customHeight="1" x14ac:dyDescent="0.55000000000000004">
      <c r="A22" s="9" t="s">
        <v>134</v>
      </c>
      <c r="B22" s="9"/>
      <c r="C22" s="1" t="s">
        <v>187</v>
      </c>
      <c r="D22" s="1"/>
      <c r="E22" s="1"/>
      <c r="F22" s="1"/>
    </row>
    <row r="23" spans="1:6" ht="105.75" customHeight="1" x14ac:dyDescent="0.55000000000000004">
      <c r="A23" s="9" t="s">
        <v>136</v>
      </c>
      <c r="B23" s="9"/>
      <c r="C23" s="42" t="s">
        <v>188</v>
      </c>
      <c r="D23" s="42"/>
      <c r="E23" s="42"/>
      <c r="F23" s="42"/>
    </row>
    <row r="24" spans="1:6" ht="19.5" customHeight="1" x14ac:dyDescent="0.55000000000000004">
      <c r="A24" s="9"/>
      <c r="B24" s="9"/>
      <c r="C24" s="42"/>
      <c r="D24" s="42"/>
      <c r="E24" s="42"/>
      <c r="F24" s="42"/>
    </row>
    <row r="25" spans="1:6" ht="19.5" customHeight="1" x14ac:dyDescent="0.55000000000000004">
      <c r="A25" s="9"/>
      <c r="B25" s="9"/>
      <c r="C25" s="42"/>
      <c r="D25" s="42"/>
      <c r="E25" s="42"/>
      <c r="F25" s="42"/>
    </row>
    <row r="27" spans="1:6" ht="31.5" customHeight="1" x14ac:dyDescent="0.55000000000000004">
      <c r="A27" s="9" t="s">
        <v>138</v>
      </c>
      <c r="B27" s="9"/>
      <c r="C27" s="39" t="s">
        <v>189</v>
      </c>
      <c r="D27" s="39"/>
      <c r="E27" s="39"/>
      <c r="F27" s="39"/>
    </row>
    <row r="28" spans="1:6" ht="43.5" customHeight="1" x14ac:dyDescent="0.55000000000000004">
      <c r="A28" s="9" t="s">
        <v>140</v>
      </c>
      <c r="B28" s="9"/>
      <c r="C28" s="39"/>
      <c r="D28" s="39"/>
      <c r="E28" s="39"/>
      <c r="F28" s="39"/>
    </row>
    <row r="30" spans="1:6" ht="30.75" customHeight="1" x14ac:dyDescent="0.55000000000000004">
      <c r="A30" s="43" t="s">
        <v>141</v>
      </c>
      <c r="B30" s="43"/>
      <c r="C30" s="43"/>
      <c r="D30" s="30" t="s">
        <v>142</v>
      </c>
      <c r="E30" s="43" t="s">
        <v>143</v>
      </c>
      <c r="F30" s="43"/>
    </row>
    <row r="31" spans="1:6" ht="19.5" customHeight="1" x14ac:dyDescent="0.55000000000000004">
      <c r="A31" s="8" t="s">
        <v>144</v>
      </c>
      <c r="B31" s="8"/>
      <c r="C31" s="8"/>
      <c r="D31" s="15" t="s">
        <v>144</v>
      </c>
      <c r="E31" s="8" t="s">
        <v>144</v>
      </c>
      <c r="F31" s="8"/>
    </row>
    <row r="32" spans="1:6" ht="19.5" customHeight="1" x14ac:dyDescent="0.55000000000000004">
      <c r="A32" s="8" t="s">
        <v>145</v>
      </c>
      <c r="B32" s="8"/>
      <c r="C32" s="8"/>
      <c r="D32" s="15" t="s">
        <v>145</v>
      </c>
      <c r="E32" s="8" t="s">
        <v>145</v>
      </c>
      <c r="F32" s="8"/>
    </row>
    <row r="33" spans="1:6" ht="43.5" customHeight="1" x14ac:dyDescent="0.55000000000000004">
      <c r="A33" s="44" t="s">
        <v>146</v>
      </c>
      <c r="B33" s="44"/>
      <c r="C33" s="44"/>
      <c r="D33" s="31" t="s">
        <v>146</v>
      </c>
      <c r="E33" s="44" t="s">
        <v>146</v>
      </c>
      <c r="F33" s="44"/>
    </row>
    <row r="34" spans="1:6" ht="19.5" customHeight="1" x14ac:dyDescent="0.55000000000000004">
      <c r="A34" s="8" t="s">
        <v>147</v>
      </c>
      <c r="B34" s="8"/>
      <c r="C34" s="8"/>
      <c r="D34" s="15" t="s">
        <v>147</v>
      </c>
      <c r="E34" s="8" t="s">
        <v>147</v>
      </c>
      <c r="F34" s="8"/>
    </row>
    <row r="36" spans="1:6" ht="18" customHeight="1" x14ac:dyDescent="0.55000000000000004">
      <c r="A36" s="9" t="s">
        <v>148</v>
      </c>
      <c r="B36" s="9"/>
      <c r="C36" s="9"/>
      <c r="D36" s="9"/>
      <c r="E36" s="9"/>
      <c r="F36" s="9"/>
    </row>
    <row r="37" spans="1:6" ht="30.75" customHeight="1" x14ac:dyDescent="0.55000000000000004">
      <c r="A37" s="7" t="s">
        <v>149</v>
      </c>
      <c r="B37" s="7"/>
      <c r="C37" s="7"/>
      <c r="D37" s="7"/>
      <c r="E37" s="7"/>
      <c r="F37" s="7"/>
    </row>
    <row r="38" spans="1:6" ht="43.5" customHeight="1" x14ac:dyDescent="0.55000000000000004">
      <c r="A38" s="7" t="s">
        <v>150</v>
      </c>
      <c r="B38" s="7"/>
      <c r="C38" s="7"/>
      <c r="D38" s="7"/>
      <c r="E38" s="7"/>
      <c r="F38" s="7"/>
    </row>
    <row r="39" spans="1:6" ht="30.75" customHeight="1" x14ac:dyDescent="0.55000000000000004">
      <c r="A39" s="7" t="s">
        <v>151</v>
      </c>
      <c r="B39" s="7"/>
      <c r="C39" s="7"/>
      <c r="D39" s="7"/>
      <c r="E39" s="7"/>
      <c r="F39" s="7"/>
    </row>
    <row r="40" spans="1:6" ht="30.75" customHeight="1" x14ac:dyDescent="0.55000000000000004">
      <c r="A40" s="7" t="s">
        <v>152</v>
      </c>
      <c r="B40" s="7"/>
      <c r="C40" s="7"/>
      <c r="D40" s="7"/>
      <c r="E40" s="7"/>
      <c r="F40" s="7"/>
    </row>
    <row r="41" spans="1:6" ht="30.75" customHeight="1" x14ac:dyDescent="0.55000000000000004">
      <c r="A41" s="7" t="s">
        <v>190</v>
      </c>
      <c r="B41" s="7"/>
      <c r="C41" s="7"/>
      <c r="D41" s="7"/>
      <c r="E41" s="7"/>
      <c r="F41" s="7"/>
    </row>
    <row r="42" spans="1:6" ht="27.75" customHeight="1" x14ac:dyDescent="0.55000000000000004">
      <c r="A42" s="7" t="s">
        <v>191</v>
      </c>
      <c r="B42" s="7"/>
      <c r="C42" s="7"/>
      <c r="D42" s="7"/>
      <c r="E42" s="7"/>
      <c r="F42" s="7"/>
    </row>
    <row r="43" spans="1:6" ht="27.75" customHeight="1" x14ac:dyDescent="0.55000000000000004">
      <c r="A43" s="7" t="s">
        <v>192</v>
      </c>
      <c r="B43" s="7"/>
      <c r="C43" s="7"/>
      <c r="D43" s="7"/>
      <c r="E43" s="7"/>
      <c r="F43" s="7"/>
    </row>
  </sheetData>
  <mergeCells count="44">
    <mergeCell ref="A39:F39"/>
    <mergeCell ref="A40:F40"/>
    <mergeCell ref="A41:F41"/>
    <mergeCell ref="A42:F42"/>
    <mergeCell ref="A43:F43"/>
    <mergeCell ref="A34:C34"/>
    <mergeCell ref="E34:F34"/>
    <mergeCell ref="A36:F36"/>
    <mergeCell ref="A37:F37"/>
    <mergeCell ref="A38:F38"/>
    <mergeCell ref="A31:C31"/>
    <mergeCell ref="E31:F31"/>
    <mergeCell ref="A32:C32"/>
    <mergeCell ref="E32:F32"/>
    <mergeCell ref="A33:C33"/>
    <mergeCell ref="E33:F33"/>
    <mergeCell ref="A27:B27"/>
    <mergeCell ref="C27:F27"/>
    <mergeCell ref="A28:B28"/>
    <mergeCell ref="C28:F28"/>
    <mergeCell ref="A30:C30"/>
    <mergeCell ref="E30:F30"/>
    <mergeCell ref="A20:F20"/>
    <mergeCell ref="A22:B22"/>
    <mergeCell ref="C22:F22"/>
    <mergeCell ref="A23:B25"/>
    <mergeCell ref="C23:F25"/>
    <mergeCell ref="A9:B9"/>
    <mergeCell ref="E9:F9"/>
    <mergeCell ref="A10:B10"/>
    <mergeCell ref="E10:F10"/>
    <mergeCell ref="A19:D19"/>
    <mergeCell ref="A6:B6"/>
    <mergeCell ref="E6:F6"/>
    <mergeCell ref="A7:B7"/>
    <mergeCell ref="E7:F7"/>
    <mergeCell ref="A8:B8"/>
    <mergeCell ref="E8:F8"/>
    <mergeCell ref="A1:B3"/>
    <mergeCell ref="C1:F1"/>
    <mergeCell ref="C2:F2"/>
    <mergeCell ref="C3:F3"/>
    <mergeCell ref="A5:B5"/>
    <mergeCell ref="E5:F5"/>
  </mergeCells>
  <dataValidations count="1">
    <dataValidation type="list" allowBlank="1" sqref="E9" xr:uid="{00000000-0002-0000-0300-000000000000}">
      <formula1>"Manual,Automated,Bulk import"</formula1>
      <formula2>0</formula2>
    </dataValidation>
  </dataValidations>
  <pageMargins left="0.5" right="0.5" top="1" bottom="1" header="0.511811023622047" footer="0.5"/>
  <pageSetup paperSize="9" fitToHeight="0" orientation="portrait" horizontalDpi="300" verticalDpi="300"/>
  <headerFooter>
    <oddFooter>&amp;LFA-03 JV | Crest Point Consulting Group&amp;CPage &amp;P of &amp;N&amp;RStrictly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7F7F"/>
    <pageSetUpPr fitToPage="1"/>
  </sheetPr>
  <dimension ref="A1:G23"/>
  <sheetViews>
    <sheetView showGridLines="0" zoomScaleNormal="100" workbookViewId="0">
      <pane ySplit="5" topLeftCell="A6" activePane="bottomLeft" state="frozen"/>
      <selection pane="bottomLeft" sqref="A1:B3"/>
    </sheetView>
  </sheetViews>
  <sheetFormatPr defaultColWidth="8.68359375" defaultRowHeight="14.4" x14ac:dyDescent="0.55000000000000004"/>
  <cols>
    <col min="1" max="1" width="5" customWidth="1"/>
    <col min="2" max="2" width="28" customWidth="1"/>
    <col min="3" max="3" width="18" customWidth="1"/>
    <col min="4" max="4" width="14" customWidth="1"/>
    <col min="5" max="5" width="18" customWidth="1"/>
    <col min="6" max="6" width="14" customWidth="1"/>
    <col min="7" max="7" width="70" customWidth="1"/>
  </cols>
  <sheetData>
    <row r="1" spans="1:7" ht="55.5" customHeight="1" x14ac:dyDescent="0.55000000000000004">
      <c r="A1" s="6" t="s">
        <v>93</v>
      </c>
      <c r="B1" s="6"/>
      <c r="C1" s="5" t="s">
        <v>0</v>
      </c>
      <c r="D1" s="5"/>
      <c r="E1" s="5"/>
      <c r="F1" s="5"/>
      <c r="G1" s="5"/>
    </row>
    <row r="2" spans="1:7" ht="21.75" customHeight="1" x14ac:dyDescent="0.55000000000000004">
      <c r="A2" s="6"/>
      <c r="B2" s="6"/>
      <c r="C2" s="4" t="s">
        <v>193</v>
      </c>
      <c r="D2" s="4"/>
      <c r="E2" s="4"/>
      <c r="F2" s="4"/>
      <c r="G2" s="4"/>
    </row>
    <row r="3" spans="1:7" ht="21.75" customHeight="1" x14ac:dyDescent="0.55000000000000004">
      <c r="A3" s="6"/>
      <c r="B3" s="6"/>
      <c r="C3" s="3" t="s">
        <v>194</v>
      </c>
      <c r="D3" s="3"/>
      <c r="E3" s="3"/>
      <c r="F3" s="3"/>
      <c r="G3" s="3"/>
    </row>
    <row r="5" spans="1:7" ht="30" customHeight="1" x14ac:dyDescent="0.55000000000000004">
      <c r="A5" s="19" t="s">
        <v>195</v>
      </c>
      <c r="B5" s="19" t="s">
        <v>196</v>
      </c>
      <c r="C5" s="19" t="s">
        <v>197</v>
      </c>
      <c r="D5" s="19" t="s">
        <v>198</v>
      </c>
      <c r="E5" s="19" t="s">
        <v>199</v>
      </c>
      <c r="F5" s="19" t="s">
        <v>200</v>
      </c>
      <c r="G5" s="19" t="s">
        <v>201</v>
      </c>
    </row>
    <row r="6" spans="1:7" ht="18" customHeight="1" x14ac:dyDescent="0.55000000000000004">
      <c r="A6" s="15">
        <v>1</v>
      </c>
      <c r="B6" s="15" t="s">
        <v>202</v>
      </c>
      <c r="C6" s="15" t="s">
        <v>203</v>
      </c>
      <c r="D6" s="15" t="s">
        <v>204</v>
      </c>
      <c r="E6" s="15" t="s">
        <v>205</v>
      </c>
      <c r="F6" s="15" t="s">
        <v>206</v>
      </c>
      <c r="G6" s="15" t="s">
        <v>207</v>
      </c>
    </row>
    <row r="7" spans="1:7" ht="30.75" customHeight="1" x14ac:dyDescent="0.55000000000000004">
      <c r="A7" s="15">
        <v>2</v>
      </c>
      <c r="B7" s="15" t="s">
        <v>98</v>
      </c>
      <c r="C7" s="15" t="s">
        <v>208</v>
      </c>
      <c r="D7" s="15" t="s">
        <v>204</v>
      </c>
      <c r="E7" s="15" t="s">
        <v>209</v>
      </c>
      <c r="F7" s="15" t="s">
        <v>206</v>
      </c>
      <c r="G7" s="15" t="s">
        <v>210</v>
      </c>
    </row>
    <row r="8" spans="1:7" ht="18" customHeight="1" x14ac:dyDescent="0.55000000000000004">
      <c r="A8" s="15">
        <v>3</v>
      </c>
      <c r="B8" s="15" t="s">
        <v>99</v>
      </c>
      <c r="C8" s="15" t="s">
        <v>211</v>
      </c>
      <c r="D8" s="15" t="s">
        <v>204</v>
      </c>
      <c r="E8" s="15" t="s">
        <v>209</v>
      </c>
      <c r="F8" s="15" t="s">
        <v>206</v>
      </c>
      <c r="G8" s="15" t="s">
        <v>212</v>
      </c>
    </row>
    <row r="9" spans="1:7" ht="18" customHeight="1" x14ac:dyDescent="0.55000000000000004">
      <c r="A9" s="15">
        <v>4</v>
      </c>
      <c r="B9" s="15" t="s">
        <v>101</v>
      </c>
      <c r="C9" s="15" t="s">
        <v>213</v>
      </c>
      <c r="D9" s="15" t="s">
        <v>204</v>
      </c>
      <c r="E9" s="15" t="s">
        <v>205</v>
      </c>
      <c r="F9" s="15" t="s">
        <v>206</v>
      </c>
      <c r="G9" s="15" t="s">
        <v>214</v>
      </c>
    </row>
    <row r="10" spans="1:7" ht="30.75" customHeight="1" x14ac:dyDescent="0.55000000000000004">
      <c r="A10" s="15">
        <v>5</v>
      </c>
      <c r="B10" s="15" t="s">
        <v>215</v>
      </c>
      <c r="C10" s="15" t="s">
        <v>211</v>
      </c>
      <c r="D10" s="15" t="s">
        <v>204</v>
      </c>
      <c r="E10" s="15" t="s">
        <v>209</v>
      </c>
      <c r="F10" s="15" t="s">
        <v>206</v>
      </c>
      <c r="G10" s="15" t="s">
        <v>216</v>
      </c>
    </row>
    <row r="11" spans="1:7" ht="30.75" customHeight="1" x14ac:dyDescent="0.55000000000000004">
      <c r="A11" s="15">
        <v>6</v>
      </c>
      <c r="B11" s="15" t="s">
        <v>217</v>
      </c>
      <c r="C11" s="15" t="s">
        <v>218</v>
      </c>
      <c r="D11" s="15" t="s">
        <v>204</v>
      </c>
      <c r="E11" s="15" t="s">
        <v>209</v>
      </c>
      <c r="F11" s="15" t="s">
        <v>206</v>
      </c>
      <c r="G11" s="15" t="s">
        <v>219</v>
      </c>
    </row>
    <row r="12" spans="1:7" ht="30.75" customHeight="1" x14ac:dyDescent="0.55000000000000004">
      <c r="A12" s="15">
        <v>7</v>
      </c>
      <c r="B12" s="15" t="s">
        <v>181</v>
      </c>
      <c r="C12" s="15" t="s">
        <v>220</v>
      </c>
      <c r="D12" s="15" t="s">
        <v>221</v>
      </c>
      <c r="E12" s="15" t="s">
        <v>209</v>
      </c>
      <c r="F12" s="15" t="s">
        <v>222</v>
      </c>
      <c r="G12" s="15" t="s">
        <v>223</v>
      </c>
    </row>
    <row r="13" spans="1:7" ht="18" customHeight="1" x14ac:dyDescent="0.55000000000000004">
      <c r="A13" s="15">
        <v>8</v>
      </c>
      <c r="B13" s="15" t="s">
        <v>224</v>
      </c>
      <c r="C13" s="15" t="s">
        <v>211</v>
      </c>
      <c r="D13" s="15" t="s">
        <v>221</v>
      </c>
      <c r="E13" s="15" t="s">
        <v>209</v>
      </c>
      <c r="F13" s="15" t="s">
        <v>222</v>
      </c>
      <c r="G13" s="15" t="s">
        <v>225</v>
      </c>
    </row>
    <row r="14" spans="1:7" ht="18" customHeight="1" x14ac:dyDescent="0.55000000000000004">
      <c r="A14" s="15">
        <v>9</v>
      </c>
      <c r="B14" s="15" t="s">
        <v>105</v>
      </c>
      <c r="C14" s="15" t="s">
        <v>211</v>
      </c>
      <c r="D14" s="15" t="s">
        <v>221</v>
      </c>
      <c r="E14" s="15" t="s">
        <v>209</v>
      </c>
      <c r="F14" s="15" t="s">
        <v>222</v>
      </c>
      <c r="G14" s="15" t="s">
        <v>226</v>
      </c>
    </row>
    <row r="15" spans="1:7" ht="18" customHeight="1" x14ac:dyDescent="0.55000000000000004">
      <c r="A15" s="15">
        <v>10</v>
      </c>
      <c r="B15" s="15" t="s">
        <v>227</v>
      </c>
      <c r="C15" s="15" t="s">
        <v>228</v>
      </c>
      <c r="D15" s="15" t="s">
        <v>204</v>
      </c>
      <c r="E15" s="15" t="s">
        <v>209</v>
      </c>
      <c r="F15" s="15" t="s">
        <v>206</v>
      </c>
      <c r="G15" s="15" t="s">
        <v>229</v>
      </c>
    </row>
    <row r="16" spans="1:7" ht="30.75" customHeight="1" x14ac:dyDescent="0.55000000000000004">
      <c r="A16" s="15">
        <v>11</v>
      </c>
      <c r="B16" s="15" t="s">
        <v>230</v>
      </c>
      <c r="C16" s="15" t="s">
        <v>213</v>
      </c>
      <c r="D16" s="15" t="s">
        <v>231</v>
      </c>
      <c r="E16" s="15" t="s">
        <v>205</v>
      </c>
      <c r="F16" s="15" t="s">
        <v>232</v>
      </c>
      <c r="G16" s="15" t="s">
        <v>233</v>
      </c>
    </row>
    <row r="17" spans="1:7" ht="30.75" customHeight="1" x14ac:dyDescent="0.55000000000000004">
      <c r="A17" s="15">
        <v>12</v>
      </c>
      <c r="B17" s="15" t="s">
        <v>121</v>
      </c>
      <c r="C17" s="15" t="s">
        <v>234</v>
      </c>
      <c r="D17" s="15" t="s">
        <v>204</v>
      </c>
      <c r="E17" s="15" t="s">
        <v>209</v>
      </c>
      <c r="F17" s="15" t="s">
        <v>232</v>
      </c>
      <c r="G17" s="15" t="s">
        <v>235</v>
      </c>
    </row>
    <row r="18" spans="1:7" ht="30.75" customHeight="1" x14ac:dyDescent="0.55000000000000004">
      <c r="A18" s="15">
        <v>13</v>
      </c>
      <c r="B18" s="15" t="s">
        <v>115</v>
      </c>
      <c r="C18" s="15" t="s">
        <v>213</v>
      </c>
      <c r="D18" s="15" t="s">
        <v>204</v>
      </c>
      <c r="E18" s="15" t="s">
        <v>205</v>
      </c>
      <c r="F18" s="15" t="s">
        <v>232</v>
      </c>
      <c r="G18" s="15" t="s">
        <v>236</v>
      </c>
    </row>
    <row r="19" spans="1:7" ht="43.5" customHeight="1" x14ac:dyDescent="0.55000000000000004">
      <c r="A19" s="15">
        <v>14</v>
      </c>
      <c r="B19" s="15" t="s">
        <v>119</v>
      </c>
      <c r="C19" s="15" t="s">
        <v>237</v>
      </c>
      <c r="D19" s="15" t="s">
        <v>204</v>
      </c>
      <c r="E19" s="15" t="s">
        <v>205</v>
      </c>
      <c r="F19" s="15" t="s">
        <v>206</v>
      </c>
      <c r="G19" s="15" t="s">
        <v>238</v>
      </c>
    </row>
    <row r="20" spans="1:7" ht="30.75" customHeight="1" x14ac:dyDescent="0.55000000000000004">
      <c r="A20" s="15">
        <v>15</v>
      </c>
      <c r="B20" s="15" t="s">
        <v>239</v>
      </c>
      <c r="C20" s="15" t="s">
        <v>240</v>
      </c>
      <c r="D20" s="15" t="s">
        <v>204</v>
      </c>
      <c r="E20" s="15" t="s">
        <v>241</v>
      </c>
      <c r="F20" s="15" t="s">
        <v>206</v>
      </c>
      <c r="G20" s="15" t="s">
        <v>242</v>
      </c>
    </row>
    <row r="21" spans="1:7" ht="30.75" customHeight="1" x14ac:dyDescent="0.55000000000000004">
      <c r="A21" s="15">
        <v>16</v>
      </c>
      <c r="B21" s="15" t="s">
        <v>243</v>
      </c>
      <c r="C21" s="15" t="s">
        <v>240</v>
      </c>
      <c r="D21" s="15" t="s">
        <v>204</v>
      </c>
      <c r="E21" s="15" t="s">
        <v>241</v>
      </c>
      <c r="F21" s="15" t="s">
        <v>206</v>
      </c>
      <c r="G21" s="15" t="s">
        <v>244</v>
      </c>
    </row>
    <row r="22" spans="1:7" ht="30.75" customHeight="1" x14ac:dyDescent="0.55000000000000004">
      <c r="A22" s="15">
        <v>17</v>
      </c>
      <c r="B22" s="15" t="s">
        <v>245</v>
      </c>
      <c r="C22" s="15" t="s">
        <v>240</v>
      </c>
      <c r="D22" s="15" t="s">
        <v>204</v>
      </c>
      <c r="E22" s="15" t="s">
        <v>241</v>
      </c>
      <c r="F22" s="15" t="s">
        <v>246</v>
      </c>
      <c r="G22" s="15" t="s">
        <v>247</v>
      </c>
    </row>
    <row r="23" spans="1:7" ht="30.75" customHeight="1" x14ac:dyDescent="0.55000000000000004">
      <c r="A23" s="15">
        <v>18</v>
      </c>
      <c r="B23" s="15" t="s">
        <v>248</v>
      </c>
      <c r="C23" s="15" t="s">
        <v>249</v>
      </c>
      <c r="D23" s="15" t="s">
        <v>250</v>
      </c>
      <c r="E23" s="15" t="s">
        <v>250</v>
      </c>
      <c r="F23" s="15" t="s">
        <v>250</v>
      </c>
      <c r="G23" s="15" t="s">
        <v>251</v>
      </c>
    </row>
  </sheetData>
  <mergeCells count="4">
    <mergeCell ref="A1:B3"/>
    <mergeCell ref="C1:G1"/>
    <mergeCell ref="C2:G2"/>
    <mergeCell ref="C3:G3"/>
  </mergeCells>
  <pageMargins left="0.5" right="0.5" top="1" bottom="1" header="0.511811023622047" footer="0.5"/>
  <pageSetup paperSize="9" fitToHeight="0" orientation="landscape" horizontalDpi="300" verticalDpi="300"/>
  <headerFooter>
    <oddFooter>&amp;LFA-04 | Crest Point Consulting Group&amp;CPage &amp;P of &amp;N&amp;RStrictly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pageSetUpPr fitToPage="1"/>
  </sheetPr>
  <dimension ref="A1:G21"/>
  <sheetViews>
    <sheetView showGridLines="0" zoomScaleNormal="100" workbookViewId="0">
      <pane ySplit="6" topLeftCell="A7" activePane="bottomLeft" state="frozen"/>
      <selection pane="bottomLeft" sqref="A1:B3"/>
    </sheetView>
  </sheetViews>
  <sheetFormatPr defaultColWidth="8.68359375" defaultRowHeight="14.4" x14ac:dyDescent="0.55000000000000004"/>
  <cols>
    <col min="1" max="1" width="16" customWidth="1"/>
    <col min="2" max="2" width="48" customWidth="1"/>
    <col min="3" max="4" width="20" customWidth="1"/>
    <col min="5" max="5" width="22" customWidth="1"/>
    <col min="6" max="6" width="4" customWidth="1"/>
    <col min="7" max="7" width="60" customWidth="1"/>
  </cols>
  <sheetData>
    <row r="1" spans="1:7" ht="30.75" customHeight="1" x14ac:dyDescent="0.55000000000000004">
      <c r="A1" s="6" t="s">
        <v>93</v>
      </c>
      <c r="B1" s="6"/>
      <c r="C1" s="5" t="s">
        <v>0</v>
      </c>
      <c r="D1" s="5"/>
      <c r="E1" s="5"/>
      <c r="F1" s="5"/>
      <c r="G1" s="5"/>
    </row>
    <row r="2" spans="1:7" ht="21.75" customHeight="1" x14ac:dyDescent="0.55000000000000004">
      <c r="A2" s="6"/>
      <c r="B2" s="6"/>
      <c r="C2" s="4" t="s">
        <v>252</v>
      </c>
      <c r="D2" s="4"/>
      <c r="E2" s="4"/>
      <c r="F2" s="4"/>
      <c r="G2" s="4"/>
    </row>
    <row r="3" spans="1:7" ht="21.75" customHeight="1" x14ac:dyDescent="0.55000000000000004">
      <c r="A3" s="6"/>
      <c r="B3" s="6"/>
      <c r="C3" s="3" t="s">
        <v>253</v>
      </c>
      <c r="D3" s="3"/>
      <c r="E3" s="3"/>
      <c r="F3" s="3"/>
      <c r="G3" s="3"/>
    </row>
    <row r="5" spans="1:7" ht="30.75" customHeight="1" x14ac:dyDescent="0.55000000000000004">
      <c r="A5" s="46" t="s">
        <v>254</v>
      </c>
      <c r="B5" s="46"/>
      <c r="C5" s="46"/>
      <c r="D5" s="46"/>
      <c r="E5" s="46"/>
    </row>
    <row r="6" spans="1:7" ht="30" customHeight="1" x14ac:dyDescent="0.55000000000000004">
      <c r="A6" s="19" t="s">
        <v>255</v>
      </c>
      <c r="B6" s="19" t="s">
        <v>126</v>
      </c>
      <c r="C6" s="19" t="s">
        <v>256</v>
      </c>
      <c r="D6" s="19" t="s">
        <v>257</v>
      </c>
      <c r="E6" s="19" t="s">
        <v>258</v>
      </c>
      <c r="G6" s="13" t="s">
        <v>259</v>
      </c>
    </row>
    <row r="7" spans="1:7" ht="27.75" customHeight="1" x14ac:dyDescent="0.55000000000000004">
      <c r="A7" s="24">
        <v>46300</v>
      </c>
      <c r="B7" s="25" t="s">
        <v>260</v>
      </c>
      <c r="C7" s="26"/>
      <c r="D7" s="26">
        <v>2500000</v>
      </c>
      <c r="E7" s="26">
        <v>7300000</v>
      </c>
      <c r="G7" s="22" t="s">
        <v>261</v>
      </c>
    </row>
    <row r="8" spans="1:7" ht="27.75" customHeight="1" x14ac:dyDescent="0.55000000000000004">
      <c r="A8" s="24">
        <v>46301</v>
      </c>
      <c r="B8" s="25" t="s">
        <v>262</v>
      </c>
      <c r="C8" s="26"/>
      <c r="D8" s="26">
        <v>1200000</v>
      </c>
      <c r="E8" s="26">
        <v>8500000</v>
      </c>
      <c r="G8" s="22" t="s">
        <v>263</v>
      </c>
    </row>
    <row r="9" spans="1:7" ht="27.75" customHeight="1" x14ac:dyDescent="0.55000000000000004">
      <c r="A9" s="24">
        <v>46302</v>
      </c>
      <c r="B9" s="25" t="s">
        <v>264</v>
      </c>
      <c r="C9" s="26"/>
      <c r="D9" s="26">
        <v>150000</v>
      </c>
      <c r="E9" s="26">
        <v>8650000</v>
      </c>
      <c r="G9" s="22" t="s">
        <v>265</v>
      </c>
    </row>
    <row r="10" spans="1:7" ht="27.75" customHeight="1" x14ac:dyDescent="0.55000000000000004">
      <c r="A10" s="24">
        <v>46303</v>
      </c>
      <c r="B10" s="25" t="s">
        <v>266</v>
      </c>
      <c r="C10" s="26"/>
      <c r="D10" s="26">
        <v>300000</v>
      </c>
      <c r="E10" s="26">
        <v>8950000</v>
      </c>
      <c r="G10" s="22" t="s">
        <v>267</v>
      </c>
    </row>
    <row r="11" spans="1:7" ht="27.75" customHeight="1" x14ac:dyDescent="0.55000000000000004">
      <c r="A11" s="24">
        <v>46304</v>
      </c>
      <c r="B11" s="25" t="s">
        <v>268</v>
      </c>
      <c r="C11" s="26">
        <v>3000000</v>
      </c>
      <c r="D11" s="26"/>
      <c r="E11" s="26">
        <v>5950000</v>
      </c>
      <c r="G11" s="22" t="s">
        <v>269</v>
      </c>
    </row>
    <row r="12" spans="1:7" ht="30.75" customHeight="1" x14ac:dyDescent="0.55000000000000004">
      <c r="A12" s="15"/>
      <c r="B12" s="15"/>
      <c r="C12" s="28"/>
      <c r="D12" s="28"/>
      <c r="E12" s="28"/>
      <c r="G12" s="22" t="s">
        <v>270</v>
      </c>
    </row>
    <row r="13" spans="1:7" ht="43.5" customHeight="1" x14ac:dyDescent="0.55000000000000004">
      <c r="A13" s="15"/>
      <c r="B13" s="15"/>
      <c r="C13" s="28"/>
      <c r="D13" s="28"/>
      <c r="E13" s="28"/>
      <c r="G13" s="22" t="s">
        <v>271</v>
      </c>
    </row>
    <row r="14" spans="1:7" x14ac:dyDescent="0.55000000000000004">
      <c r="A14" s="15"/>
      <c r="B14" s="15"/>
      <c r="C14" s="28"/>
      <c r="D14" s="28"/>
      <c r="E14" s="28"/>
    </row>
    <row r="15" spans="1:7" x14ac:dyDescent="0.55000000000000004">
      <c r="A15" s="15"/>
      <c r="B15" s="15"/>
      <c r="C15" s="28"/>
      <c r="D15" s="28"/>
      <c r="E15" s="28"/>
    </row>
    <row r="16" spans="1:7" x14ac:dyDescent="0.55000000000000004">
      <c r="A16" s="15"/>
      <c r="B16" s="15"/>
      <c r="C16" s="28"/>
      <c r="D16" s="28"/>
      <c r="E16" s="28"/>
    </row>
    <row r="17" spans="1:5" x14ac:dyDescent="0.55000000000000004">
      <c r="A17" s="15"/>
      <c r="B17" s="15"/>
      <c r="C17" s="28"/>
      <c r="D17" s="28"/>
      <c r="E17" s="28"/>
    </row>
    <row r="18" spans="1:5" x14ac:dyDescent="0.55000000000000004">
      <c r="A18" s="15"/>
      <c r="B18" s="15"/>
      <c r="C18" s="28"/>
      <c r="D18" s="28"/>
      <c r="E18" s="28"/>
    </row>
    <row r="19" spans="1:5" x14ac:dyDescent="0.55000000000000004">
      <c r="A19" s="15"/>
      <c r="B19" s="15"/>
      <c r="C19" s="28"/>
      <c r="D19" s="28"/>
      <c r="E19" s="28"/>
    </row>
    <row r="20" spans="1:5" x14ac:dyDescent="0.55000000000000004">
      <c r="A20" s="15"/>
      <c r="B20" s="15"/>
      <c r="C20" s="28"/>
      <c r="D20" s="28"/>
      <c r="E20" s="28"/>
    </row>
    <row r="21" spans="1:5" x14ac:dyDescent="0.55000000000000004">
      <c r="A21" s="15"/>
      <c r="B21" s="15"/>
      <c r="C21" s="28"/>
      <c r="D21" s="28"/>
      <c r="E21" s="28"/>
    </row>
  </sheetData>
  <mergeCells count="5">
    <mergeCell ref="A1:B3"/>
    <mergeCell ref="C1:G1"/>
    <mergeCell ref="C2:G2"/>
    <mergeCell ref="C3:G3"/>
    <mergeCell ref="A5:E5"/>
  </mergeCells>
  <pageMargins left="0.5" right="0.5" top="1" bottom="1" header="0.511811023622047" footer="0.5"/>
  <pageSetup paperSize="9" fitToHeight="0" orientation="landscape" horizontalDpi="300" verticalDpi="300"/>
  <headerFooter>
    <oddFooter>&amp;LFA-05 | Crest Point Consulting Group&amp;CPage &amp;P of &amp;N&amp;RStrictly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I47"/>
  <sheetViews>
    <sheetView showGridLines="0" zoomScaleNormal="100" workbookViewId="0">
      <pane ySplit="9" topLeftCell="A10" activePane="bottomLeft" state="frozen"/>
      <selection pane="bottomLeft" sqref="A1:B3"/>
    </sheetView>
  </sheetViews>
  <sheetFormatPr defaultColWidth="8.68359375" defaultRowHeight="14.4" x14ac:dyDescent="0.55000000000000004"/>
  <cols>
    <col min="1" max="1" width="14" customWidth="1"/>
    <col min="2" max="2" width="38" customWidth="1"/>
    <col min="3" max="4" width="16" customWidth="1"/>
    <col min="5" max="5" width="18" customWidth="1"/>
    <col min="6" max="6" width="26" customWidth="1"/>
    <col min="7" max="7" width="22" customWidth="1"/>
    <col min="8" max="8" width="40" customWidth="1"/>
    <col min="9" max="9" width="18" customWidth="1"/>
  </cols>
  <sheetData>
    <row r="1" spans="1:9" ht="30.75" customHeight="1" x14ac:dyDescent="0.55000000000000004">
      <c r="A1" s="6" t="s">
        <v>93</v>
      </c>
      <c r="B1" s="6"/>
      <c r="C1" s="5" t="s">
        <v>0</v>
      </c>
      <c r="D1" s="5"/>
      <c r="E1" s="5"/>
      <c r="F1" s="5"/>
      <c r="G1" s="5"/>
      <c r="H1" s="5"/>
      <c r="I1" s="5"/>
    </row>
    <row r="2" spans="1:9" ht="21.75" customHeight="1" x14ac:dyDescent="0.55000000000000004">
      <c r="A2" s="6"/>
      <c r="B2" s="6"/>
      <c r="C2" s="4" t="s">
        <v>272</v>
      </c>
      <c r="D2" s="4"/>
      <c r="E2" s="4"/>
      <c r="F2" s="4"/>
      <c r="G2" s="4"/>
      <c r="H2" s="4"/>
      <c r="I2" s="4"/>
    </row>
    <row r="3" spans="1:9" ht="21.75" customHeight="1" x14ac:dyDescent="0.55000000000000004">
      <c r="A3" s="6"/>
      <c r="B3" s="6"/>
      <c r="C3" s="3" t="s">
        <v>273</v>
      </c>
      <c r="D3" s="3"/>
      <c r="E3" s="3"/>
      <c r="F3" s="3"/>
      <c r="G3" s="3"/>
      <c r="H3" s="3"/>
      <c r="I3" s="3"/>
    </row>
    <row r="5" spans="1:9" ht="19.5" customHeight="1" x14ac:dyDescent="0.55000000000000004">
      <c r="A5" s="9" t="s">
        <v>274</v>
      </c>
      <c r="B5" s="9"/>
      <c r="C5" s="39" t="s">
        <v>275</v>
      </c>
      <c r="D5" s="39"/>
      <c r="E5" s="9" t="s">
        <v>276</v>
      </c>
      <c r="F5" s="9"/>
      <c r="G5" s="39" t="s">
        <v>277</v>
      </c>
      <c r="H5" s="39"/>
      <c r="I5" s="39"/>
    </row>
    <row r="6" spans="1:9" ht="19.5" customHeight="1" x14ac:dyDescent="0.55000000000000004">
      <c r="A6" s="9" t="s">
        <v>278</v>
      </c>
      <c r="B6" s="9"/>
      <c r="C6" s="2">
        <v>46296</v>
      </c>
      <c r="D6" s="2"/>
      <c r="E6" s="9" t="s">
        <v>279</v>
      </c>
      <c r="F6" s="9"/>
      <c r="G6" s="2">
        <v>46326</v>
      </c>
      <c r="H6" s="2"/>
      <c r="I6" s="2"/>
    </row>
    <row r="7" spans="1:9" ht="19.5" customHeight="1" x14ac:dyDescent="0.55000000000000004">
      <c r="A7" s="9" t="s">
        <v>280</v>
      </c>
      <c r="B7" s="9"/>
      <c r="C7" s="1" t="s">
        <v>281</v>
      </c>
      <c r="D7" s="1"/>
      <c r="E7" s="9" t="s">
        <v>115</v>
      </c>
      <c r="F7" s="9"/>
      <c r="G7" s="1" t="s">
        <v>282</v>
      </c>
      <c r="H7" s="1"/>
      <c r="I7" s="1"/>
    </row>
    <row r="9" spans="1:9" ht="33.75" customHeight="1" x14ac:dyDescent="0.55000000000000004">
      <c r="A9" s="19" t="s">
        <v>283</v>
      </c>
      <c r="B9" s="19" t="s">
        <v>126</v>
      </c>
      <c r="C9" s="19" t="s">
        <v>284</v>
      </c>
      <c r="D9" s="19" t="s">
        <v>285</v>
      </c>
      <c r="E9" s="19" t="s">
        <v>258</v>
      </c>
      <c r="F9" s="19" t="s">
        <v>286</v>
      </c>
      <c r="G9" s="19" t="s">
        <v>287</v>
      </c>
      <c r="H9" s="19" t="s">
        <v>288</v>
      </c>
      <c r="I9" s="19" t="s">
        <v>289</v>
      </c>
    </row>
    <row r="10" spans="1:9" ht="30.75" customHeight="1" x14ac:dyDescent="0.55000000000000004">
      <c r="A10" s="24">
        <v>46300</v>
      </c>
      <c r="B10" s="25" t="s">
        <v>260</v>
      </c>
      <c r="C10" s="26"/>
      <c r="D10" s="26">
        <v>2500000</v>
      </c>
      <c r="E10" s="26">
        <v>7300000</v>
      </c>
      <c r="F10" s="25" t="s">
        <v>290</v>
      </c>
      <c r="G10" s="25" t="s">
        <v>291</v>
      </c>
      <c r="H10" s="23" t="str">
        <f t="shared" ref="H10:H29" si="0">IF(A10="","",IF(F10="","",IF(F10="Customer deposit","Dr Bank Account / Cr Customer Advance (Current Liability)",IF(F10="Supplier / expense payment","Dr Relevant Purchase or Expense Account / Cr Bank Account",IF(F10="Supplier security deposit","Dr Bank Account / Cr Supplier Security Deposit (Current Liability)",IF(F10="Internal transfer (JV)","Dr Expense Bank Account / Cr Revenue Bank Account (via JV)",""))))))</f>
        <v>Dr Bank Account / Cr Customer Advance (Current Liability)</v>
      </c>
      <c r="I10" s="16" t="str">
        <f t="shared" ref="I10:I29" si="1">IF(A10="","",IF(G10="","Unreconciled","Matched"))</f>
        <v>Matched</v>
      </c>
    </row>
    <row r="11" spans="1:9" ht="30.75" customHeight="1" x14ac:dyDescent="0.55000000000000004">
      <c r="A11" s="24">
        <v>46301</v>
      </c>
      <c r="B11" s="25" t="s">
        <v>262</v>
      </c>
      <c r="C11" s="26"/>
      <c r="D11" s="26">
        <v>1200000</v>
      </c>
      <c r="E11" s="26">
        <v>8500000</v>
      </c>
      <c r="F11" s="25" t="s">
        <v>290</v>
      </c>
      <c r="G11" s="25" t="s">
        <v>292</v>
      </c>
      <c r="H11" s="23" t="str">
        <f t="shared" si="0"/>
        <v>Dr Bank Account / Cr Customer Advance (Current Liability)</v>
      </c>
      <c r="I11" s="16" t="str">
        <f t="shared" si="1"/>
        <v>Matched</v>
      </c>
    </row>
    <row r="12" spans="1:9" ht="30.75" customHeight="1" x14ac:dyDescent="0.55000000000000004">
      <c r="A12" s="24">
        <v>46302</v>
      </c>
      <c r="B12" s="25" t="s">
        <v>264</v>
      </c>
      <c r="C12" s="26"/>
      <c r="D12" s="26">
        <v>150000</v>
      </c>
      <c r="E12" s="26">
        <v>8650000</v>
      </c>
      <c r="F12" s="25" t="s">
        <v>293</v>
      </c>
      <c r="G12" s="25" t="s">
        <v>294</v>
      </c>
      <c r="H12" s="23" t="str">
        <f t="shared" si="0"/>
        <v>Dr Bank Account / Cr Supplier Security Deposit (Current Liability)</v>
      </c>
      <c r="I12" s="16" t="str">
        <f t="shared" si="1"/>
        <v>Matched</v>
      </c>
    </row>
    <row r="13" spans="1:9" ht="30" customHeight="1" x14ac:dyDescent="0.55000000000000004">
      <c r="A13" s="24">
        <v>46303</v>
      </c>
      <c r="B13" s="25" t="s">
        <v>266</v>
      </c>
      <c r="C13" s="26"/>
      <c r="D13" s="26">
        <v>300000</v>
      </c>
      <c r="E13" s="26">
        <v>8950000</v>
      </c>
      <c r="F13" s="25"/>
      <c r="G13" s="25"/>
      <c r="H13" s="23" t="str">
        <f t="shared" si="0"/>
        <v/>
      </c>
      <c r="I13" s="16" t="str">
        <f t="shared" si="1"/>
        <v>Unreconciled</v>
      </c>
    </row>
    <row r="14" spans="1:9" ht="30" customHeight="1" x14ac:dyDescent="0.55000000000000004">
      <c r="A14" s="24">
        <v>46304</v>
      </c>
      <c r="B14" s="25" t="s">
        <v>268</v>
      </c>
      <c r="C14" s="26">
        <v>3000000</v>
      </c>
      <c r="D14" s="26"/>
      <c r="E14" s="26">
        <v>5950000</v>
      </c>
      <c r="F14" s="25" t="s">
        <v>295</v>
      </c>
      <c r="G14" s="25" t="s">
        <v>296</v>
      </c>
      <c r="H14" s="23" t="str">
        <f t="shared" si="0"/>
        <v>Dr Expense Bank Account / Cr Revenue Bank Account (via JV)</v>
      </c>
      <c r="I14" s="16" t="str">
        <f t="shared" si="1"/>
        <v>Matched</v>
      </c>
    </row>
    <row r="15" spans="1:9" ht="30" customHeight="1" x14ac:dyDescent="0.55000000000000004">
      <c r="A15" s="15"/>
      <c r="B15" s="15"/>
      <c r="C15" s="28"/>
      <c r="D15" s="28"/>
      <c r="E15" s="28"/>
      <c r="F15" s="15"/>
      <c r="G15" s="15"/>
      <c r="H15" s="23" t="str">
        <f t="shared" si="0"/>
        <v/>
      </c>
      <c r="I15" s="16" t="str">
        <f t="shared" si="1"/>
        <v/>
      </c>
    </row>
    <row r="16" spans="1:9" ht="30" customHeight="1" x14ac:dyDescent="0.55000000000000004">
      <c r="A16" s="15"/>
      <c r="B16" s="15"/>
      <c r="C16" s="28"/>
      <c r="D16" s="28"/>
      <c r="E16" s="28"/>
      <c r="F16" s="15"/>
      <c r="G16" s="15"/>
      <c r="H16" s="23" t="str">
        <f t="shared" si="0"/>
        <v/>
      </c>
      <c r="I16" s="16" t="str">
        <f t="shared" si="1"/>
        <v/>
      </c>
    </row>
    <row r="17" spans="1:9" ht="30" customHeight="1" x14ac:dyDescent="0.55000000000000004">
      <c r="A17" s="15"/>
      <c r="B17" s="15"/>
      <c r="C17" s="28"/>
      <c r="D17" s="28"/>
      <c r="E17" s="28"/>
      <c r="F17" s="15"/>
      <c r="G17" s="15"/>
      <c r="H17" s="23" t="str">
        <f t="shared" si="0"/>
        <v/>
      </c>
      <c r="I17" s="16" t="str">
        <f t="shared" si="1"/>
        <v/>
      </c>
    </row>
    <row r="18" spans="1:9" ht="30" customHeight="1" x14ac:dyDescent="0.55000000000000004">
      <c r="A18" s="15"/>
      <c r="B18" s="15"/>
      <c r="C18" s="28"/>
      <c r="D18" s="28"/>
      <c r="E18" s="28"/>
      <c r="F18" s="15"/>
      <c r="G18" s="15"/>
      <c r="H18" s="23" t="str">
        <f t="shared" si="0"/>
        <v/>
      </c>
      <c r="I18" s="16" t="str">
        <f t="shared" si="1"/>
        <v/>
      </c>
    </row>
    <row r="19" spans="1:9" ht="30" customHeight="1" x14ac:dyDescent="0.55000000000000004">
      <c r="A19" s="15"/>
      <c r="B19" s="15"/>
      <c r="C19" s="28"/>
      <c r="D19" s="28"/>
      <c r="E19" s="28"/>
      <c r="F19" s="15"/>
      <c r="G19" s="15"/>
      <c r="H19" s="23" t="str">
        <f t="shared" si="0"/>
        <v/>
      </c>
      <c r="I19" s="16" t="str">
        <f t="shared" si="1"/>
        <v/>
      </c>
    </row>
    <row r="20" spans="1:9" ht="30" customHeight="1" x14ac:dyDescent="0.55000000000000004">
      <c r="A20" s="15"/>
      <c r="B20" s="15"/>
      <c r="C20" s="28"/>
      <c r="D20" s="28"/>
      <c r="E20" s="28"/>
      <c r="F20" s="15"/>
      <c r="G20" s="15"/>
      <c r="H20" s="23" t="str">
        <f t="shared" si="0"/>
        <v/>
      </c>
      <c r="I20" s="16" t="str">
        <f t="shared" si="1"/>
        <v/>
      </c>
    </row>
    <row r="21" spans="1:9" ht="30" customHeight="1" x14ac:dyDescent="0.55000000000000004">
      <c r="A21" s="15"/>
      <c r="B21" s="15"/>
      <c r="C21" s="28"/>
      <c r="D21" s="28"/>
      <c r="E21" s="28"/>
      <c r="F21" s="15"/>
      <c r="G21" s="15"/>
      <c r="H21" s="23" t="str">
        <f t="shared" si="0"/>
        <v/>
      </c>
      <c r="I21" s="16" t="str">
        <f t="shared" si="1"/>
        <v/>
      </c>
    </row>
    <row r="22" spans="1:9" ht="30" customHeight="1" x14ac:dyDescent="0.55000000000000004">
      <c r="A22" s="15"/>
      <c r="B22" s="15"/>
      <c r="C22" s="28"/>
      <c r="D22" s="28"/>
      <c r="E22" s="28"/>
      <c r="F22" s="15"/>
      <c r="G22" s="15"/>
      <c r="H22" s="23" t="str">
        <f t="shared" si="0"/>
        <v/>
      </c>
      <c r="I22" s="16" t="str">
        <f t="shared" si="1"/>
        <v/>
      </c>
    </row>
    <row r="23" spans="1:9" ht="30" customHeight="1" x14ac:dyDescent="0.55000000000000004">
      <c r="A23" s="15"/>
      <c r="B23" s="15"/>
      <c r="C23" s="28"/>
      <c r="D23" s="28"/>
      <c r="E23" s="28"/>
      <c r="F23" s="15"/>
      <c r="G23" s="15"/>
      <c r="H23" s="23" t="str">
        <f t="shared" si="0"/>
        <v/>
      </c>
      <c r="I23" s="16" t="str">
        <f t="shared" si="1"/>
        <v/>
      </c>
    </row>
    <row r="24" spans="1:9" ht="30" customHeight="1" x14ac:dyDescent="0.55000000000000004">
      <c r="A24" s="15"/>
      <c r="B24" s="15"/>
      <c r="C24" s="28"/>
      <c r="D24" s="28"/>
      <c r="E24" s="28"/>
      <c r="F24" s="15"/>
      <c r="G24" s="15"/>
      <c r="H24" s="23" t="str">
        <f t="shared" si="0"/>
        <v/>
      </c>
      <c r="I24" s="16" t="str">
        <f t="shared" si="1"/>
        <v/>
      </c>
    </row>
    <row r="25" spans="1:9" ht="30" customHeight="1" x14ac:dyDescent="0.55000000000000004">
      <c r="A25" s="15"/>
      <c r="B25" s="15"/>
      <c r="C25" s="28"/>
      <c r="D25" s="28"/>
      <c r="E25" s="28"/>
      <c r="F25" s="15"/>
      <c r="G25" s="15"/>
      <c r="H25" s="23" t="str">
        <f t="shared" si="0"/>
        <v/>
      </c>
      <c r="I25" s="16" t="str">
        <f t="shared" si="1"/>
        <v/>
      </c>
    </row>
    <row r="26" spans="1:9" ht="30" customHeight="1" x14ac:dyDescent="0.55000000000000004">
      <c r="A26" s="15"/>
      <c r="B26" s="15"/>
      <c r="C26" s="28"/>
      <c r="D26" s="28"/>
      <c r="E26" s="28"/>
      <c r="F26" s="15"/>
      <c r="G26" s="15"/>
      <c r="H26" s="23" t="str">
        <f t="shared" si="0"/>
        <v/>
      </c>
      <c r="I26" s="16" t="str">
        <f t="shared" si="1"/>
        <v/>
      </c>
    </row>
    <row r="27" spans="1:9" ht="30" customHeight="1" x14ac:dyDescent="0.55000000000000004">
      <c r="A27" s="15"/>
      <c r="B27" s="15"/>
      <c r="C27" s="28"/>
      <c r="D27" s="28"/>
      <c r="E27" s="28"/>
      <c r="F27" s="15"/>
      <c r="G27" s="15"/>
      <c r="H27" s="23" t="str">
        <f t="shared" si="0"/>
        <v/>
      </c>
      <c r="I27" s="16" t="str">
        <f t="shared" si="1"/>
        <v/>
      </c>
    </row>
    <row r="28" spans="1:9" ht="30" customHeight="1" x14ac:dyDescent="0.55000000000000004">
      <c r="A28" s="15"/>
      <c r="B28" s="15"/>
      <c r="C28" s="28"/>
      <c r="D28" s="28"/>
      <c r="E28" s="28"/>
      <c r="F28" s="15"/>
      <c r="G28" s="15"/>
      <c r="H28" s="23" t="str">
        <f t="shared" si="0"/>
        <v/>
      </c>
      <c r="I28" s="16" t="str">
        <f t="shared" si="1"/>
        <v/>
      </c>
    </row>
    <row r="29" spans="1:9" ht="30" customHeight="1" x14ac:dyDescent="0.55000000000000004">
      <c r="A29" s="15"/>
      <c r="B29" s="15"/>
      <c r="C29" s="28"/>
      <c r="D29" s="28"/>
      <c r="E29" s="28"/>
      <c r="F29" s="15"/>
      <c r="G29" s="15"/>
      <c r="H29" s="23" t="str">
        <f t="shared" si="0"/>
        <v/>
      </c>
      <c r="I29" s="16" t="str">
        <f t="shared" si="1"/>
        <v/>
      </c>
    </row>
    <row r="31" spans="1:9" ht="21.75" customHeight="1" x14ac:dyDescent="0.55000000000000004">
      <c r="A31" s="47" t="s">
        <v>297</v>
      </c>
      <c r="B31" s="47"/>
      <c r="C31" s="47"/>
      <c r="D31" s="47"/>
      <c r="E31" s="47" t="s">
        <v>298</v>
      </c>
      <c r="F31" s="47"/>
      <c r="G31" s="47"/>
      <c r="H31" s="47"/>
      <c r="I31" s="47"/>
    </row>
    <row r="32" spans="1:9" ht="21.75" customHeight="1" x14ac:dyDescent="0.55000000000000004">
      <c r="A32" s="9" t="s">
        <v>299</v>
      </c>
      <c r="B32" s="9"/>
      <c r="C32" s="9"/>
      <c r="D32" s="33">
        <f>COUNTIF(I10:I29,"Unreconciled")</f>
        <v>1</v>
      </c>
      <c r="E32" s="48" t="str">
        <f>IF(D32=0,"No unreconciled items - reconciliation may go to the Finance Department Head for approval.","BLOCKED - period-end closing cannot be authorized while unreconciled transactions remain. Finance Head is notified of each unreconciled item.")</f>
        <v>BLOCKED - period-end closing cannot be authorized while unreconciled transactions remain. Finance Head is notified of each unreconciled item.</v>
      </c>
      <c r="F32" s="48"/>
      <c r="G32" s="48"/>
      <c r="H32" s="48"/>
      <c r="I32" s="48"/>
    </row>
    <row r="33" spans="1:9" ht="21.75" customHeight="1" x14ac:dyDescent="0.55000000000000004">
      <c r="A33" s="9" t="s">
        <v>300</v>
      </c>
      <c r="B33" s="9"/>
      <c r="C33" s="9"/>
      <c r="D33" s="27">
        <f>SUMIF(I10:I29,"Unreconciled",C10:C29)+SUMIF(I10:I29,"Unreconciled",D10:D29)</f>
        <v>300000</v>
      </c>
      <c r="E33" s="48"/>
      <c r="F33" s="48"/>
      <c r="G33" s="48"/>
      <c r="H33" s="48"/>
      <c r="I33" s="48"/>
    </row>
    <row r="34" spans="1:9" ht="118.5" customHeight="1" x14ac:dyDescent="0.55000000000000004">
      <c r="A34" s="9" t="s">
        <v>301</v>
      </c>
      <c r="B34" s="9"/>
      <c r="C34" s="9"/>
      <c r="D34" s="27">
        <f>SUMIF(I10:I29,"Matched",D10:D29)</f>
        <v>3850000</v>
      </c>
      <c r="E34" s="49" t="s">
        <v>302</v>
      </c>
      <c r="F34" s="49"/>
      <c r="G34" s="49"/>
      <c r="H34" s="49"/>
      <c r="I34" s="49"/>
    </row>
    <row r="35" spans="1:9" ht="21.75" customHeight="1" x14ac:dyDescent="0.55000000000000004">
      <c r="A35" s="9" t="s">
        <v>303</v>
      </c>
      <c r="B35" s="9"/>
      <c r="C35" s="9"/>
      <c r="D35" s="27">
        <f>SUMIF(I10:I29,"Matched",C10:C29)</f>
        <v>3000000</v>
      </c>
      <c r="E35" s="49"/>
      <c r="F35" s="49"/>
      <c r="G35" s="49"/>
      <c r="H35" s="49"/>
      <c r="I35" s="49"/>
    </row>
    <row r="37" spans="1:9" ht="30.75" customHeight="1" x14ac:dyDescent="0.55000000000000004">
      <c r="A37" s="43" t="s">
        <v>141</v>
      </c>
      <c r="B37" s="43"/>
      <c r="C37" s="43"/>
      <c r="D37" s="43" t="s">
        <v>304</v>
      </c>
      <c r="E37" s="43"/>
      <c r="F37" s="43"/>
    </row>
    <row r="38" spans="1:9" ht="19.5" customHeight="1" x14ac:dyDescent="0.55000000000000004">
      <c r="A38" s="8" t="s">
        <v>144</v>
      </c>
      <c r="B38" s="8"/>
      <c r="C38" s="8"/>
      <c r="D38" s="8" t="s">
        <v>144</v>
      </c>
      <c r="E38" s="8"/>
      <c r="F38" s="8"/>
    </row>
    <row r="39" spans="1:9" ht="19.5" customHeight="1" x14ac:dyDescent="0.55000000000000004">
      <c r="A39" s="8" t="s">
        <v>145</v>
      </c>
      <c r="B39" s="8"/>
      <c r="C39" s="8"/>
      <c r="D39" s="8" t="s">
        <v>145</v>
      </c>
      <c r="E39" s="8"/>
      <c r="F39" s="8"/>
    </row>
    <row r="40" spans="1:9" ht="43.5" customHeight="1" x14ac:dyDescent="0.55000000000000004">
      <c r="A40" s="44" t="s">
        <v>146</v>
      </c>
      <c r="B40" s="44"/>
      <c r="C40" s="44"/>
      <c r="D40" s="44" t="s">
        <v>146</v>
      </c>
      <c r="E40" s="44"/>
      <c r="F40" s="44"/>
    </row>
    <row r="41" spans="1:9" ht="19.5" customHeight="1" x14ac:dyDescent="0.55000000000000004">
      <c r="A41" s="8" t="s">
        <v>147</v>
      </c>
      <c r="B41" s="8"/>
      <c r="C41" s="8"/>
      <c r="D41" s="8" t="s">
        <v>147</v>
      </c>
      <c r="E41" s="8"/>
      <c r="F41" s="8"/>
    </row>
    <row r="43" spans="1:9" ht="18" customHeight="1" x14ac:dyDescent="0.55000000000000004">
      <c r="A43" s="9" t="s">
        <v>148</v>
      </c>
      <c r="B43" s="9"/>
      <c r="C43" s="9"/>
      <c r="D43" s="9"/>
      <c r="E43" s="9"/>
      <c r="F43" s="9"/>
      <c r="G43" s="9"/>
      <c r="H43" s="9"/>
      <c r="I43" s="9"/>
    </row>
    <row r="44" spans="1:9" ht="21.75" customHeight="1" x14ac:dyDescent="0.55000000000000004">
      <c r="A44" s="7" t="s">
        <v>305</v>
      </c>
      <c r="B44" s="7"/>
      <c r="C44" s="7"/>
      <c r="D44" s="7"/>
      <c r="E44" s="7"/>
      <c r="F44" s="7"/>
      <c r="G44" s="7"/>
      <c r="H44" s="7"/>
      <c r="I44" s="7"/>
    </row>
    <row r="45" spans="1:9" ht="21.75" customHeight="1" x14ac:dyDescent="0.55000000000000004">
      <c r="A45" s="7" t="s">
        <v>306</v>
      </c>
      <c r="B45" s="7"/>
      <c r="C45" s="7"/>
      <c r="D45" s="7"/>
      <c r="E45" s="7"/>
      <c r="F45" s="7"/>
      <c r="G45" s="7"/>
      <c r="H45" s="7"/>
      <c r="I45" s="7"/>
    </row>
    <row r="46" spans="1:9" ht="21.75" customHeight="1" x14ac:dyDescent="0.55000000000000004">
      <c r="A46" s="7" t="s">
        <v>307</v>
      </c>
      <c r="B46" s="7"/>
      <c r="C46" s="7"/>
      <c r="D46" s="7"/>
      <c r="E46" s="7"/>
      <c r="F46" s="7"/>
      <c r="G46" s="7"/>
      <c r="H46" s="7"/>
      <c r="I46" s="7"/>
    </row>
    <row r="47" spans="1:9" ht="30.75" customHeight="1" x14ac:dyDescent="0.55000000000000004">
      <c r="A47" s="7" t="s">
        <v>308</v>
      </c>
      <c r="B47" s="7"/>
      <c r="C47" s="7"/>
      <c r="D47" s="7"/>
      <c r="E47" s="7"/>
      <c r="F47" s="7"/>
      <c r="G47" s="7"/>
      <c r="H47" s="7"/>
      <c r="I47" s="7"/>
    </row>
  </sheetData>
  <mergeCells count="39">
    <mergeCell ref="A46:I46"/>
    <mergeCell ref="A47:I47"/>
    <mergeCell ref="A41:C41"/>
    <mergeCell ref="D41:F41"/>
    <mergeCell ref="A43:I43"/>
    <mergeCell ref="A44:I44"/>
    <mergeCell ref="A45:I45"/>
    <mergeCell ref="A38:C38"/>
    <mergeCell ref="D38:F38"/>
    <mergeCell ref="A39:C39"/>
    <mergeCell ref="D39:F39"/>
    <mergeCell ref="A40:C40"/>
    <mergeCell ref="D40:F40"/>
    <mergeCell ref="A34:C34"/>
    <mergeCell ref="E34:I35"/>
    <mergeCell ref="A35:C35"/>
    <mergeCell ref="A37:C37"/>
    <mergeCell ref="D37:F37"/>
    <mergeCell ref="A31:D31"/>
    <mergeCell ref="E31:I31"/>
    <mergeCell ref="A32:C32"/>
    <mergeCell ref="E32:I33"/>
    <mergeCell ref="A33:C33"/>
    <mergeCell ref="A6:B6"/>
    <mergeCell ref="C6:D6"/>
    <mergeCell ref="E6:F6"/>
    <mergeCell ref="G6:I6"/>
    <mergeCell ref="A7:B7"/>
    <mergeCell ref="C7:D7"/>
    <mergeCell ref="E7:F7"/>
    <mergeCell ref="G7:I7"/>
    <mergeCell ref="A1:B3"/>
    <mergeCell ref="C1:I1"/>
    <mergeCell ref="C2:I2"/>
    <mergeCell ref="C3:I3"/>
    <mergeCell ref="A5:B5"/>
    <mergeCell ref="C5:D5"/>
    <mergeCell ref="E5:F5"/>
    <mergeCell ref="G5:I5"/>
  </mergeCells>
  <dataValidations count="2">
    <dataValidation type="list" allowBlank="1" sqref="G5" xr:uid="{00000000-0002-0000-0600-000000000000}">
      <formula1>"Excel or CSV Upload,Direct Bank Connection"</formula1>
      <formula2>0</formula2>
    </dataValidation>
    <dataValidation type="list" allowBlank="1" sqref="F10:F29" xr:uid="{00000000-0002-0000-0600-000001000000}">
      <formula1>"Customer deposit,Supplier / expense payment,Supplier security deposit,Internal transfer (JV)"</formula1>
      <formula2>0</formula2>
    </dataValidation>
  </dataValidations>
  <pageMargins left="0.5" right="0.5" top="1" bottom="1" header="0.511811023622047" footer="0.5"/>
  <pageSetup paperSize="9" fitToHeight="0" orientation="landscape" horizontalDpi="300" verticalDpi="300"/>
  <headerFooter>
    <oddFooter>&amp;LFA-06 | Crest Point Consulting Group&amp;CPage &amp;P of &amp;N&amp;RStrictly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pageSetUpPr fitToPage="1"/>
  </sheetPr>
  <dimension ref="A1:L54"/>
  <sheetViews>
    <sheetView showGridLines="0" zoomScaleNormal="100" workbookViewId="0">
      <pane ySplit="5" topLeftCell="A6" activePane="bottomLeft" state="frozen"/>
      <selection pane="bottomLeft" sqref="A1:B3"/>
    </sheetView>
  </sheetViews>
  <sheetFormatPr defaultColWidth="8.68359375" defaultRowHeight="14.4" x14ac:dyDescent="0.55000000000000004"/>
  <cols>
    <col min="1" max="1" width="11" customWidth="1"/>
    <col min="2" max="2" width="13" customWidth="1"/>
    <col min="3" max="4" width="10" customWidth="1"/>
    <col min="5" max="5" width="13" customWidth="1"/>
    <col min="6" max="7" width="16" customWidth="1"/>
    <col min="8" max="8" width="24" customWidth="1"/>
    <col min="9" max="10" width="16" customWidth="1"/>
    <col min="11" max="11" width="44" customWidth="1"/>
    <col min="12" max="12" width="40" customWidth="1"/>
  </cols>
  <sheetData>
    <row r="1" spans="1:12" ht="30.75" customHeight="1" x14ac:dyDescent="0.55000000000000004">
      <c r="A1" s="6" t="s">
        <v>93</v>
      </c>
      <c r="B1" s="6"/>
      <c r="C1" s="5" t="s">
        <v>0</v>
      </c>
      <c r="D1" s="5"/>
      <c r="E1" s="5"/>
      <c r="F1" s="5"/>
      <c r="G1" s="5"/>
      <c r="H1" s="5"/>
      <c r="I1" s="5"/>
      <c r="J1" s="5"/>
      <c r="K1" s="5"/>
      <c r="L1" s="5"/>
    </row>
    <row r="2" spans="1:12" ht="21.75" customHeight="1" x14ac:dyDescent="0.55000000000000004">
      <c r="A2" s="6"/>
      <c r="B2" s="6"/>
      <c r="C2" s="4" t="s">
        <v>309</v>
      </c>
      <c r="D2" s="4"/>
      <c r="E2" s="4"/>
      <c r="F2" s="4"/>
      <c r="G2" s="4"/>
      <c r="H2" s="4"/>
      <c r="I2" s="4"/>
      <c r="J2" s="4"/>
      <c r="K2" s="4"/>
      <c r="L2" s="4"/>
    </row>
    <row r="3" spans="1:12" ht="21.75" customHeight="1" x14ac:dyDescent="0.55000000000000004">
      <c r="A3" s="6"/>
      <c r="B3" s="6"/>
      <c r="C3" s="3" t="s">
        <v>310</v>
      </c>
      <c r="D3" s="3"/>
      <c r="E3" s="3"/>
      <c r="F3" s="3"/>
      <c r="G3" s="3"/>
      <c r="H3" s="3"/>
      <c r="I3" s="3"/>
      <c r="J3" s="3"/>
      <c r="K3" s="3"/>
      <c r="L3" s="3"/>
    </row>
    <row r="5" spans="1:12" ht="33.75" customHeight="1" x14ac:dyDescent="0.55000000000000004">
      <c r="A5" s="19" t="s">
        <v>311</v>
      </c>
      <c r="B5" s="19" t="s">
        <v>255</v>
      </c>
      <c r="C5" s="19" t="s">
        <v>99</v>
      </c>
      <c r="D5" s="19" t="s">
        <v>101</v>
      </c>
      <c r="E5" s="19" t="s">
        <v>124</v>
      </c>
      <c r="F5" s="19" t="s">
        <v>127</v>
      </c>
      <c r="G5" s="19" t="s">
        <v>128</v>
      </c>
      <c r="H5" s="19" t="s">
        <v>181</v>
      </c>
      <c r="I5" s="19" t="s">
        <v>103</v>
      </c>
      <c r="J5" s="19" t="s">
        <v>105</v>
      </c>
      <c r="K5" s="19" t="s">
        <v>227</v>
      </c>
      <c r="L5" s="19" t="s">
        <v>312</v>
      </c>
    </row>
    <row r="6" spans="1:12" ht="19.5" customHeight="1" x14ac:dyDescent="0.55000000000000004">
      <c r="A6" s="25" t="s">
        <v>313</v>
      </c>
      <c r="B6" s="24">
        <v>46301</v>
      </c>
      <c r="C6" s="25" t="s">
        <v>314</v>
      </c>
      <c r="D6" s="25" t="s">
        <v>102</v>
      </c>
      <c r="E6" s="25">
        <v>6500</v>
      </c>
      <c r="F6" s="26">
        <v>35000</v>
      </c>
      <c r="G6" s="26"/>
      <c r="H6" s="25" t="s">
        <v>110</v>
      </c>
      <c r="I6" s="25" t="s">
        <v>104</v>
      </c>
      <c r="J6" s="25">
        <v>1130</v>
      </c>
      <c r="K6" s="25" t="s">
        <v>315</v>
      </c>
      <c r="L6" s="23" t="str">
        <f t="shared" ref="L6:L45" si="0">IF(A6="","",IF(OR(B6="",C6="",D6="",E6=""),"Error: mandatory field missing",IF(LEN(K6)&lt;10,"Error: narration under 10 characters",IF(AND(N(F6)&gt;0,N(G6)&gt;0),"Error: Dr and Cr on same row",IF(AND(C6="JV",ROUND(SUMIF($A$6:$A$45,A6,$F$6:$F$45)-SUMIF($A$6:$A$45,A6,$G$6:$G$45),2)&lt;&gt;0),"Error: JV out of balance",IF(AND(OR(C6="PV",C6="RV"),OR(H6="",I6="",J6="")),"Error: payee, method and bank required for PV/RV","OK"))))))</f>
        <v>OK</v>
      </c>
    </row>
    <row r="7" spans="1:12" ht="19.5" customHeight="1" x14ac:dyDescent="0.55000000000000004">
      <c r="A7" s="25" t="s">
        <v>316</v>
      </c>
      <c r="B7" s="24">
        <v>46301</v>
      </c>
      <c r="C7" s="25" t="s">
        <v>317</v>
      </c>
      <c r="D7" s="25" t="s">
        <v>102</v>
      </c>
      <c r="E7" s="25">
        <v>6200</v>
      </c>
      <c r="F7" s="26">
        <v>45000</v>
      </c>
      <c r="G7" s="26"/>
      <c r="H7" s="25"/>
      <c r="I7" s="25"/>
      <c r="J7" s="25"/>
      <c r="K7" s="25" t="s">
        <v>318</v>
      </c>
      <c r="L7" s="23" t="str">
        <f t="shared" si="0"/>
        <v>OK</v>
      </c>
    </row>
    <row r="8" spans="1:12" ht="19.5" customHeight="1" x14ac:dyDescent="0.55000000000000004">
      <c r="A8" s="25" t="s">
        <v>316</v>
      </c>
      <c r="B8" s="24">
        <v>46301</v>
      </c>
      <c r="C8" s="25" t="s">
        <v>317</v>
      </c>
      <c r="D8" s="25" t="s">
        <v>102</v>
      </c>
      <c r="E8" s="25">
        <v>1590</v>
      </c>
      <c r="F8" s="26"/>
      <c r="G8" s="26">
        <v>45000</v>
      </c>
      <c r="H8" s="25"/>
      <c r="I8" s="25"/>
      <c r="J8" s="25"/>
      <c r="K8" s="25" t="s">
        <v>318</v>
      </c>
      <c r="L8" s="23" t="str">
        <f t="shared" si="0"/>
        <v>OK</v>
      </c>
    </row>
    <row r="9" spans="1:12" ht="19.5" customHeight="1" x14ac:dyDescent="0.55000000000000004">
      <c r="A9" s="25" t="s">
        <v>319</v>
      </c>
      <c r="B9" s="24">
        <v>46302</v>
      </c>
      <c r="C9" s="25" t="s">
        <v>320</v>
      </c>
      <c r="D9" s="25" t="s">
        <v>321</v>
      </c>
      <c r="E9" s="25">
        <v>2210</v>
      </c>
      <c r="F9" s="26"/>
      <c r="G9" s="26">
        <v>150000</v>
      </c>
      <c r="H9" s="25" t="s">
        <v>164</v>
      </c>
      <c r="I9" s="25" t="s">
        <v>104</v>
      </c>
      <c r="J9" s="25">
        <v>1120</v>
      </c>
      <c r="K9" s="25" t="s">
        <v>322</v>
      </c>
      <c r="L9" s="23" t="str">
        <f t="shared" si="0"/>
        <v>OK</v>
      </c>
    </row>
    <row r="10" spans="1:12" ht="30.75" customHeight="1" x14ac:dyDescent="0.55000000000000004">
      <c r="A10" s="25" t="s">
        <v>323</v>
      </c>
      <c r="B10" s="24">
        <v>46302</v>
      </c>
      <c r="C10" s="25" t="s">
        <v>317</v>
      </c>
      <c r="D10" s="25" t="s">
        <v>321</v>
      </c>
      <c r="E10" s="25">
        <v>6100</v>
      </c>
      <c r="F10" s="26">
        <v>100000</v>
      </c>
      <c r="G10" s="26"/>
      <c r="H10" s="25"/>
      <c r="I10" s="25"/>
      <c r="J10" s="25"/>
      <c r="K10" s="25" t="s">
        <v>324</v>
      </c>
      <c r="L10" s="23" t="str">
        <f t="shared" si="0"/>
        <v>Error: JV out of balance</v>
      </c>
    </row>
    <row r="11" spans="1:12" ht="19.5" customHeight="1" x14ac:dyDescent="0.55000000000000004">
      <c r="A11" s="25" t="s">
        <v>325</v>
      </c>
      <c r="B11" s="24">
        <v>46303</v>
      </c>
      <c r="C11" s="25" t="s">
        <v>314</v>
      </c>
      <c r="D11" s="25" t="s">
        <v>321</v>
      </c>
      <c r="E11" s="25">
        <v>6500</v>
      </c>
      <c r="F11" s="26">
        <v>5000</v>
      </c>
      <c r="G11" s="26"/>
      <c r="H11" s="25" t="s">
        <v>326</v>
      </c>
      <c r="I11" s="25" t="s">
        <v>327</v>
      </c>
      <c r="J11" s="25">
        <v>1110</v>
      </c>
      <c r="K11" s="25" t="s">
        <v>328</v>
      </c>
      <c r="L11" s="23" t="str">
        <f t="shared" si="0"/>
        <v>Error: narration under 10 characters</v>
      </c>
    </row>
    <row r="12" spans="1:12" ht="19.5" customHeight="1" x14ac:dyDescent="0.55000000000000004">
      <c r="A12" s="15"/>
      <c r="B12" s="15"/>
      <c r="C12" s="15"/>
      <c r="D12" s="15"/>
      <c r="E12" s="15"/>
      <c r="F12" s="28"/>
      <c r="G12" s="28"/>
      <c r="H12" s="15"/>
      <c r="I12" s="15"/>
      <c r="J12" s="15"/>
      <c r="K12" s="15"/>
      <c r="L12" s="23" t="str">
        <f t="shared" si="0"/>
        <v/>
      </c>
    </row>
    <row r="13" spans="1:12" ht="19.5" customHeight="1" x14ac:dyDescent="0.55000000000000004">
      <c r="A13" s="15"/>
      <c r="B13" s="15"/>
      <c r="C13" s="15"/>
      <c r="D13" s="15"/>
      <c r="E13" s="15"/>
      <c r="F13" s="28"/>
      <c r="G13" s="28"/>
      <c r="H13" s="15"/>
      <c r="I13" s="15"/>
      <c r="J13" s="15"/>
      <c r="K13" s="15"/>
      <c r="L13" s="23" t="str">
        <f t="shared" si="0"/>
        <v/>
      </c>
    </row>
    <row r="14" spans="1:12" ht="19.5" customHeight="1" x14ac:dyDescent="0.55000000000000004">
      <c r="A14" s="15"/>
      <c r="B14" s="15"/>
      <c r="C14" s="15"/>
      <c r="D14" s="15"/>
      <c r="E14" s="15"/>
      <c r="F14" s="28"/>
      <c r="G14" s="28"/>
      <c r="H14" s="15"/>
      <c r="I14" s="15"/>
      <c r="J14" s="15"/>
      <c r="K14" s="15"/>
      <c r="L14" s="23" t="str">
        <f t="shared" si="0"/>
        <v/>
      </c>
    </row>
    <row r="15" spans="1:12" ht="19.5" customHeight="1" x14ac:dyDescent="0.55000000000000004">
      <c r="A15" s="15"/>
      <c r="B15" s="15"/>
      <c r="C15" s="15"/>
      <c r="D15" s="15"/>
      <c r="E15" s="15"/>
      <c r="F15" s="28"/>
      <c r="G15" s="28"/>
      <c r="H15" s="15"/>
      <c r="I15" s="15"/>
      <c r="J15" s="15"/>
      <c r="K15" s="15"/>
      <c r="L15" s="23" t="str">
        <f t="shared" si="0"/>
        <v/>
      </c>
    </row>
    <row r="16" spans="1:12" ht="19.5" customHeight="1" x14ac:dyDescent="0.55000000000000004">
      <c r="A16" s="15"/>
      <c r="B16" s="15"/>
      <c r="C16" s="15"/>
      <c r="D16" s="15"/>
      <c r="E16" s="15"/>
      <c r="F16" s="28"/>
      <c r="G16" s="28"/>
      <c r="H16" s="15"/>
      <c r="I16" s="15"/>
      <c r="J16" s="15"/>
      <c r="K16" s="15"/>
      <c r="L16" s="23" t="str">
        <f t="shared" si="0"/>
        <v/>
      </c>
    </row>
    <row r="17" spans="1:12" ht="19.5" customHeight="1" x14ac:dyDescent="0.55000000000000004">
      <c r="A17" s="15"/>
      <c r="B17" s="15"/>
      <c r="C17" s="15"/>
      <c r="D17" s="15"/>
      <c r="E17" s="15"/>
      <c r="F17" s="28"/>
      <c r="G17" s="28"/>
      <c r="H17" s="15"/>
      <c r="I17" s="15"/>
      <c r="J17" s="15"/>
      <c r="K17" s="15"/>
      <c r="L17" s="23" t="str">
        <f t="shared" si="0"/>
        <v/>
      </c>
    </row>
    <row r="18" spans="1:12" ht="19.5" customHeight="1" x14ac:dyDescent="0.55000000000000004">
      <c r="A18" s="15"/>
      <c r="B18" s="15"/>
      <c r="C18" s="15"/>
      <c r="D18" s="15"/>
      <c r="E18" s="15"/>
      <c r="F18" s="28"/>
      <c r="G18" s="28"/>
      <c r="H18" s="15"/>
      <c r="I18" s="15"/>
      <c r="J18" s="15"/>
      <c r="K18" s="15"/>
      <c r="L18" s="23" t="str">
        <f t="shared" si="0"/>
        <v/>
      </c>
    </row>
    <row r="19" spans="1:12" ht="19.5" customHeight="1" x14ac:dyDescent="0.55000000000000004">
      <c r="A19" s="15"/>
      <c r="B19" s="15"/>
      <c r="C19" s="15"/>
      <c r="D19" s="15"/>
      <c r="E19" s="15"/>
      <c r="F19" s="28"/>
      <c r="G19" s="28"/>
      <c r="H19" s="15"/>
      <c r="I19" s="15"/>
      <c r="J19" s="15"/>
      <c r="K19" s="15"/>
      <c r="L19" s="23" t="str">
        <f t="shared" si="0"/>
        <v/>
      </c>
    </row>
    <row r="20" spans="1:12" ht="19.5" customHeight="1" x14ac:dyDescent="0.55000000000000004">
      <c r="A20" s="15"/>
      <c r="B20" s="15"/>
      <c r="C20" s="15"/>
      <c r="D20" s="15"/>
      <c r="E20" s="15"/>
      <c r="F20" s="28"/>
      <c r="G20" s="28"/>
      <c r="H20" s="15"/>
      <c r="I20" s="15"/>
      <c r="J20" s="15"/>
      <c r="K20" s="15"/>
      <c r="L20" s="23" t="str">
        <f t="shared" si="0"/>
        <v/>
      </c>
    </row>
    <row r="21" spans="1:12" ht="19.5" customHeight="1" x14ac:dyDescent="0.55000000000000004">
      <c r="A21" s="15"/>
      <c r="B21" s="15"/>
      <c r="C21" s="15"/>
      <c r="D21" s="15"/>
      <c r="E21" s="15"/>
      <c r="F21" s="28"/>
      <c r="G21" s="28"/>
      <c r="H21" s="15"/>
      <c r="I21" s="15"/>
      <c r="J21" s="15"/>
      <c r="K21" s="15"/>
      <c r="L21" s="23" t="str">
        <f t="shared" si="0"/>
        <v/>
      </c>
    </row>
    <row r="22" spans="1:12" ht="19.5" customHeight="1" x14ac:dyDescent="0.55000000000000004">
      <c r="A22" s="15"/>
      <c r="B22" s="15"/>
      <c r="C22" s="15"/>
      <c r="D22" s="15"/>
      <c r="E22" s="15"/>
      <c r="F22" s="28"/>
      <c r="G22" s="28"/>
      <c r="H22" s="15"/>
      <c r="I22" s="15"/>
      <c r="J22" s="15"/>
      <c r="K22" s="15"/>
      <c r="L22" s="23" t="str">
        <f t="shared" si="0"/>
        <v/>
      </c>
    </row>
    <row r="23" spans="1:12" ht="19.5" customHeight="1" x14ac:dyDescent="0.55000000000000004">
      <c r="A23" s="15"/>
      <c r="B23" s="15"/>
      <c r="C23" s="15"/>
      <c r="D23" s="15"/>
      <c r="E23" s="15"/>
      <c r="F23" s="28"/>
      <c r="G23" s="28"/>
      <c r="H23" s="15"/>
      <c r="I23" s="15"/>
      <c r="J23" s="15"/>
      <c r="K23" s="15"/>
      <c r="L23" s="23" t="str">
        <f t="shared" si="0"/>
        <v/>
      </c>
    </row>
    <row r="24" spans="1:12" ht="19.5" customHeight="1" x14ac:dyDescent="0.55000000000000004">
      <c r="A24" s="15"/>
      <c r="B24" s="15"/>
      <c r="C24" s="15"/>
      <c r="D24" s="15"/>
      <c r="E24" s="15"/>
      <c r="F24" s="28"/>
      <c r="G24" s="28"/>
      <c r="H24" s="15"/>
      <c r="I24" s="15"/>
      <c r="J24" s="15"/>
      <c r="K24" s="15"/>
      <c r="L24" s="23" t="str">
        <f t="shared" si="0"/>
        <v/>
      </c>
    </row>
    <row r="25" spans="1:12" ht="19.5" customHeight="1" x14ac:dyDescent="0.55000000000000004">
      <c r="A25" s="15"/>
      <c r="B25" s="15"/>
      <c r="C25" s="15"/>
      <c r="D25" s="15"/>
      <c r="E25" s="15"/>
      <c r="F25" s="28"/>
      <c r="G25" s="28"/>
      <c r="H25" s="15"/>
      <c r="I25" s="15"/>
      <c r="J25" s="15"/>
      <c r="K25" s="15"/>
      <c r="L25" s="23" t="str">
        <f t="shared" si="0"/>
        <v/>
      </c>
    </row>
    <row r="26" spans="1:12" ht="19.5" customHeight="1" x14ac:dyDescent="0.55000000000000004">
      <c r="A26" s="15"/>
      <c r="B26" s="15"/>
      <c r="C26" s="15"/>
      <c r="D26" s="15"/>
      <c r="E26" s="15"/>
      <c r="F26" s="28"/>
      <c r="G26" s="28"/>
      <c r="H26" s="15"/>
      <c r="I26" s="15"/>
      <c r="J26" s="15"/>
      <c r="K26" s="15"/>
      <c r="L26" s="23" t="str">
        <f t="shared" si="0"/>
        <v/>
      </c>
    </row>
    <row r="27" spans="1:12" ht="19.5" customHeight="1" x14ac:dyDescent="0.55000000000000004">
      <c r="A27" s="15"/>
      <c r="B27" s="15"/>
      <c r="C27" s="15"/>
      <c r="D27" s="15"/>
      <c r="E27" s="15"/>
      <c r="F27" s="28"/>
      <c r="G27" s="28"/>
      <c r="H27" s="15"/>
      <c r="I27" s="15"/>
      <c r="J27" s="15"/>
      <c r="K27" s="15"/>
      <c r="L27" s="23" t="str">
        <f t="shared" si="0"/>
        <v/>
      </c>
    </row>
    <row r="28" spans="1:12" ht="19.5" customHeight="1" x14ac:dyDescent="0.55000000000000004">
      <c r="A28" s="15"/>
      <c r="B28" s="15"/>
      <c r="C28" s="15"/>
      <c r="D28" s="15"/>
      <c r="E28" s="15"/>
      <c r="F28" s="28"/>
      <c r="G28" s="28"/>
      <c r="H28" s="15"/>
      <c r="I28" s="15"/>
      <c r="J28" s="15"/>
      <c r="K28" s="15"/>
      <c r="L28" s="23" t="str">
        <f t="shared" si="0"/>
        <v/>
      </c>
    </row>
    <row r="29" spans="1:12" ht="19.5" customHeight="1" x14ac:dyDescent="0.55000000000000004">
      <c r="A29" s="15"/>
      <c r="B29" s="15"/>
      <c r="C29" s="15"/>
      <c r="D29" s="15"/>
      <c r="E29" s="15"/>
      <c r="F29" s="28"/>
      <c r="G29" s="28"/>
      <c r="H29" s="15"/>
      <c r="I29" s="15"/>
      <c r="J29" s="15"/>
      <c r="K29" s="15"/>
      <c r="L29" s="23" t="str">
        <f t="shared" si="0"/>
        <v/>
      </c>
    </row>
    <row r="30" spans="1:12" ht="19.5" customHeight="1" x14ac:dyDescent="0.55000000000000004">
      <c r="A30" s="15"/>
      <c r="B30" s="15"/>
      <c r="C30" s="15"/>
      <c r="D30" s="15"/>
      <c r="E30" s="15"/>
      <c r="F30" s="28"/>
      <c r="G30" s="28"/>
      <c r="H30" s="15"/>
      <c r="I30" s="15"/>
      <c r="J30" s="15"/>
      <c r="K30" s="15"/>
      <c r="L30" s="23" t="str">
        <f t="shared" si="0"/>
        <v/>
      </c>
    </row>
    <row r="31" spans="1:12" ht="19.5" customHeight="1" x14ac:dyDescent="0.55000000000000004">
      <c r="A31" s="15"/>
      <c r="B31" s="15"/>
      <c r="C31" s="15"/>
      <c r="D31" s="15"/>
      <c r="E31" s="15"/>
      <c r="F31" s="28"/>
      <c r="G31" s="28"/>
      <c r="H31" s="15"/>
      <c r="I31" s="15"/>
      <c r="J31" s="15"/>
      <c r="K31" s="15"/>
      <c r="L31" s="23" t="str">
        <f t="shared" si="0"/>
        <v/>
      </c>
    </row>
    <row r="32" spans="1:12" ht="19.5" customHeight="1" x14ac:dyDescent="0.55000000000000004">
      <c r="A32" s="15"/>
      <c r="B32" s="15"/>
      <c r="C32" s="15"/>
      <c r="D32" s="15"/>
      <c r="E32" s="15"/>
      <c r="F32" s="28"/>
      <c r="G32" s="28"/>
      <c r="H32" s="15"/>
      <c r="I32" s="15"/>
      <c r="J32" s="15"/>
      <c r="K32" s="15"/>
      <c r="L32" s="23" t="str">
        <f t="shared" si="0"/>
        <v/>
      </c>
    </row>
    <row r="33" spans="1:12" ht="19.5" customHeight="1" x14ac:dyDescent="0.55000000000000004">
      <c r="A33" s="15"/>
      <c r="B33" s="15"/>
      <c r="C33" s="15"/>
      <c r="D33" s="15"/>
      <c r="E33" s="15"/>
      <c r="F33" s="28"/>
      <c r="G33" s="28"/>
      <c r="H33" s="15"/>
      <c r="I33" s="15"/>
      <c r="J33" s="15"/>
      <c r="K33" s="15"/>
      <c r="L33" s="23" t="str">
        <f t="shared" si="0"/>
        <v/>
      </c>
    </row>
    <row r="34" spans="1:12" ht="19.5" customHeight="1" x14ac:dyDescent="0.55000000000000004">
      <c r="A34" s="15"/>
      <c r="B34" s="15"/>
      <c r="C34" s="15"/>
      <c r="D34" s="15"/>
      <c r="E34" s="15"/>
      <c r="F34" s="28"/>
      <c r="G34" s="28"/>
      <c r="H34" s="15"/>
      <c r="I34" s="15"/>
      <c r="J34" s="15"/>
      <c r="K34" s="15"/>
      <c r="L34" s="23" t="str">
        <f t="shared" si="0"/>
        <v/>
      </c>
    </row>
    <row r="35" spans="1:12" ht="19.5" customHeight="1" x14ac:dyDescent="0.55000000000000004">
      <c r="A35" s="15"/>
      <c r="B35" s="15"/>
      <c r="C35" s="15"/>
      <c r="D35" s="15"/>
      <c r="E35" s="15"/>
      <c r="F35" s="28"/>
      <c r="G35" s="28"/>
      <c r="H35" s="15"/>
      <c r="I35" s="15"/>
      <c r="J35" s="15"/>
      <c r="K35" s="15"/>
      <c r="L35" s="23" t="str">
        <f t="shared" si="0"/>
        <v/>
      </c>
    </row>
    <row r="36" spans="1:12" ht="19.5" customHeight="1" x14ac:dyDescent="0.55000000000000004">
      <c r="A36" s="15"/>
      <c r="B36" s="15"/>
      <c r="C36" s="15"/>
      <c r="D36" s="15"/>
      <c r="E36" s="15"/>
      <c r="F36" s="28"/>
      <c r="G36" s="28"/>
      <c r="H36" s="15"/>
      <c r="I36" s="15"/>
      <c r="J36" s="15"/>
      <c r="K36" s="15"/>
      <c r="L36" s="23" t="str">
        <f t="shared" si="0"/>
        <v/>
      </c>
    </row>
    <row r="37" spans="1:12" ht="19.5" customHeight="1" x14ac:dyDescent="0.55000000000000004">
      <c r="A37" s="15"/>
      <c r="B37" s="15"/>
      <c r="C37" s="15"/>
      <c r="D37" s="15"/>
      <c r="E37" s="15"/>
      <c r="F37" s="28"/>
      <c r="G37" s="28"/>
      <c r="H37" s="15"/>
      <c r="I37" s="15"/>
      <c r="J37" s="15"/>
      <c r="K37" s="15"/>
      <c r="L37" s="23" t="str">
        <f t="shared" si="0"/>
        <v/>
      </c>
    </row>
    <row r="38" spans="1:12" ht="19.5" customHeight="1" x14ac:dyDescent="0.55000000000000004">
      <c r="A38" s="15"/>
      <c r="B38" s="15"/>
      <c r="C38" s="15"/>
      <c r="D38" s="15"/>
      <c r="E38" s="15"/>
      <c r="F38" s="28"/>
      <c r="G38" s="28"/>
      <c r="H38" s="15"/>
      <c r="I38" s="15"/>
      <c r="J38" s="15"/>
      <c r="K38" s="15"/>
      <c r="L38" s="23" t="str">
        <f t="shared" si="0"/>
        <v/>
      </c>
    </row>
    <row r="39" spans="1:12" ht="19.5" customHeight="1" x14ac:dyDescent="0.55000000000000004">
      <c r="A39" s="15"/>
      <c r="B39" s="15"/>
      <c r="C39" s="15"/>
      <c r="D39" s="15"/>
      <c r="E39" s="15"/>
      <c r="F39" s="28"/>
      <c r="G39" s="28"/>
      <c r="H39" s="15"/>
      <c r="I39" s="15"/>
      <c r="J39" s="15"/>
      <c r="K39" s="15"/>
      <c r="L39" s="23" t="str">
        <f t="shared" si="0"/>
        <v/>
      </c>
    </row>
    <row r="40" spans="1:12" ht="19.5" customHeight="1" x14ac:dyDescent="0.55000000000000004">
      <c r="A40" s="15"/>
      <c r="B40" s="15"/>
      <c r="C40" s="15"/>
      <c r="D40" s="15"/>
      <c r="E40" s="15"/>
      <c r="F40" s="28"/>
      <c r="G40" s="28"/>
      <c r="H40" s="15"/>
      <c r="I40" s="15"/>
      <c r="J40" s="15"/>
      <c r="K40" s="15"/>
      <c r="L40" s="23" t="str">
        <f t="shared" si="0"/>
        <v/>
      </c>
    </row>
    <row r="41" spans="1:12" ht="19.5" customHeight="1" x14ac:dyDescent="0.55000000000000004">
      <c r="A41" s="15"/>
      <c r="B41" s="15"/>
      <c r="C41" s="15"/>
      <c r="D41" s="15"/>
      <c r="E41" s="15"/>
      <c r="F41" s="28"/>
      <c r="G41" s="28"/>
      <c r="H41" s="15"/>
      <c r="I41" s="15"/>
      <c r="J41" s="15"/>
      <c r="K41" s="15"/>
      <c r="L41" s="23" t="str">
        <f t="shared" si="0"/>
        <v/>
      </c>
    </row>
    <row r="42" spans="1:12" ht="19.5" customHeight="1" x14ac:dyDescent="0.55000000000000004">
      <c r="A42" s="15"/>
      <c r="B42" s="15"/>
      <c r="C42" s="15"/>
      <c r="D42" s="15"/>
      <c r="E42" s="15"/>
      <c r="F42" s="28"/>
      <c r="G42" s="28"/>
      <c r="H42" s="15"/>
      <c r="I42" s="15"/>
      <c r="J42" s="15"/>
      <c r="K42" s="15"/>
      <c r="L42" s="23" t="str">
        <f t="shared" si="0"/>
        <v/>
      </c>
    </row>
    <row r="43" spans="1:12" ht="19.5" customHeight="1" x14ac:dyDescent="0.55000000000000004">
      <c r="A43" s="15"/>
      <c r="B43" s="15"/>
      <c r="C43" s="15"/>
      <c r="D43" s="15"/>
      <c r="E43" s="15"/>
      <c r="F43" s="28"/>
      <c r="G43" s="28"/>
      <c r="H43" s="15"/>
      <c r="I43" s="15"/>
      <c r="J43" s="15"/>
      <c r="K43" s="15"/>
      <c r="L43" s="23" t="str">
        <f t="shared" si="0"/>
        <v/>
      </c>
    </row>
    <row r="44" spans="1:12" ht="19.5" customHeight="1" x14ac:dyDescent="0.55000000000000004">
      <c r="A44" s="15"/>
      <c r="B44" s="15"/>
      <c r="C44" s="15"/>
      <c r="D44" s="15"/>
      <c r="E44" s="15"/>
      <c r="F44" s="28"/>
      <c r="G44" s="28"/>
      <c r="H44" s="15"/>
      <c r="I44" s="15"/>
      <c r="J44" s="15"/>
      <c r="K44" s="15"/>
      <c r="L44" s="23" t="str">
        <f t="shared" si="0"/>
        <v/>
      </c>
    </row>
    <row r="45" spans="1:12" ht="19.5" customHeight="1" x14ac:dyDescent="0.55000000000000004">
      <c r="A45" s="15"/>
      <c r="B45" s="15"/>
      <c r="C45" s="15"/>
      <c r="D45" s="15"/>
      <c r="E45" s="15"/>
      <c r="F45" s="28"/>
      <c r="G45" s="28"/>
      <c r="H45" s="15"/>
      <c r="I45" s="15"/>
      <c r="J45" s="15"/>
      <c r="K45" s="15"/>
      <c r="L45" s="23" t="str">
        <f t="shared" si="0"/>
        <v/>
      </c>
    </row>
    <row r="47" spans="1:12" ht="18" customHeight="1" x14ac:dyDescent="0.55000000000000004">
      <c r="A47" s="9" t="s">
        <v>329</v>
      </c>
      <c r="B47" s="9"/>
      <c r="C47" s="9"/>
      <c r="D47" s="23">
        <f>COUNTIF(L6:L45,"OK")</f>
        <v>4</v>
      </c>
      <c r="E47" s="48" t="str">
        <f>IF(D48=0,"READY - all rows valid; system generates a distinct printable voucher for the imported transactions.","CORRECT FLAGGED ROWS - errors are flagged for correction before any data is committed to the ledger.")</f>
        <v>CORRECT FLAGGED ROWS - errors are flagged for correction before any data is committed to the ledger.</v>
      </c>
      <c r="F47" s="48"/>
      <c r="G47" s="48"/>
      <c r="H47" s="48"/>
      <c r="I47" s="48"/>
      <c r="J47" s="48"/>
      <c r="K47" s="48"/>
      <c r="L47" s="48"/>
    </row>
    <row r="48" spans="1:12" ht="18" customHeight="1" x14ac:dyDescent="0.55000000000000004">
      <c r="A48" s="9" t="s">
        <v>330</v>
      </c>
      <c r="B48" s="9"/>
      <c r="C48" s="9"/>
      <c r="D48" s="23">
        <f>COUNTIF(L6:L45,"Error*")</f>
        <v>2</v>
      </c>
      <c r="E48" s="48"/>
      <c r="F48" s="48"/>
      <c r="G48" s="48"/>
      <c r="H48" s="48"/>
      <c r="I48" s="48"/>
      <c r="J48" s="48"/>
      <c r="K48" s="48"/>
      <c r="L48" s="48"/>
    </row>
    <row r="50" spans="1:12" ht="18" customHeight="1" x14ac:dyDescent="0.55000000000000004">
      <c r="A50" s="9" t="s">
        <v>148</v>
      </c>
      <c r="B50" s="9"/>
      <c r="C50" s="9"/>
      <c r="D50" s="9"/>
      <c r="E50" s="9"/>
      <c r="F50" s="9"/>
      <c r="G50" s="9"/>
      <c r="H50" s="9"/>
      <c r="I50" s="9"/>
      <c r="J50" s="9"/>
      <c r="K50" s="9"/>
      <c r="L50" s="9"/>
    </row>
    <row r="51" spans="1:12" ht="21.75" customHeight="1" x14ac:dyDescent="0.55000000000000004">
      <c r="A51" s="7" t="s">
        <v>331</v>
      </c>
      <c r="B51" s="7"/>
      <c r="C51" s="7"/>
      <c r="D51" s="7"/>
      <c r="E51" s="7"/>
      <c r="F51" s="7"/>
      <c r="G51" s="7"/>
      <c r="H51" s="7"/>
      <c r="I51" s="7"/>
      <c r="J51" s="7"/>
      <c r="K51" s="7"/>
      <c r="L51" s="7"/>
    </row>
    <row r="52" spans="1:12" ht="21.75" customHeight="1" x14ac:dyDescent="0.55000000000000004">
      <c r="A52" s="7" t="s">
        <v>332</v>
      </c>
      <c r="B52" s="7"/>
      <c r="C52" s="7"/>
      <c r="D52" s="7"/>
      <c r="E52" s="7"/>
      <c r="F52" s="7"/>
      <c r="G52" s="7"/>
      <c r="H52" s="7"/>
      <c r="I52" s="7"/>
      <c r="J52" s="7"/>
      <c r="K52" s="7"/>
      <c r="L52" s="7"/>
    </row>
    <row r="53" spans="1:12" ht="21.75" customHeight="1" x14ac:dyDescent="0.55000000000000004">
      <c r="A53" s="7" t="s">
        <v>333</v>
      </c>
      <c r="B53" s="7"/>
      <c r="C53" s="7"/>
      <c r="D53" s="7"/>
      <c r="E53" s="7"/>
      <c r="F53" s="7"/>
      <c r="G53" s="7"/>
      <c r="H53" s="7"/>
      <c r="I53" s="7"/>
      <c r="J53" s="7"/>
      <c r="K53" s="7"/>
      <c r="L53" s="7"/>
    </row>
    <row r="54" spans="1:12" ht="21.75" customHeight="1" x14ac:dyDescent="0.55000000000000004">
      <c r="A54" s="7" t="s">
        <v>334</v>
      </c>
      <c r="B54" s="7"/>
      <c r="C54" s="7"/>
      <c r="D54" s="7"/>
      <c r="E54" s="7"/>
      <c r="F54" s="7"/>
      <c r="G54" s="7"/>
      <c r="H54" s="7"/>
      <c r="I54" s="7"/>
      <c r="J54" s="7"/>
      <c r="K54" s="7"/>
      <c r="L54" s="7"/>
    </row>
  </sheetData>
  <mergeCells count="12">
    <mergeCell ref="A50:L50"/>
    <mergeCell ref="A51:L51"/>
    <mergeCell ref="A52:L52"/>
    <mergeCell ref="A53:L53"/>
    <mergeCell ref="A54:L54"/>
    <mergeCell ref="A1:B3"/>
    <mergeCell ref="C1:L1"/>
    <mergeCell ref="C2:L2"/>
    <mergeCell ref="C3:L3"/>
    <mergeCell ref="A47:C47"/>
    <mergeCell ref="E47:L48"/>
    <mergeCell ref="A48:C48"/>
  </mergeCells>
  <dataValidations count="2">
    <dataValidation type="list" allowBlank="1" sqref="C6:C45" xr:uid="{00000000-0002-0000-0700-000000000000}">
      <formula1>"PV,RV,JV"</formula1>
      <formula2>0</formula2>
    </dataValidation>
    <dataValidation type="list" allowBlank="1" sqref="I6:I45" xr:uid="{00000000-0002-0000-0700-000001000000}">
      <formula1>"Cash,Bank Transfer,Cheque"</formula1>
      <formula2>0</formula2>
    </dataValidation>
  </dataValidations>
  <pageMargins left="0.5" right="0.5" top="1" bottom="1" header="0.511811023622047" footer="0.5"/>
  <pageSetup paperSize="9" fitToHeight="0" orientation="landscape" horizontalDpi="300" verticalDpi="300"/>
  <headerFooter>
    <oddFooter>&amp;LFA-07 | Crest Point Consulting Group&amp;CPage &amp;P of &amp;N&amp;RStrictly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pageSetUpPr fitToPage="1"/>
  </sheetPr>
  <dimension ref="A1:E37"/>
  <sheetViews>
    <sheetView showGridLines="0" zoomScaleNormal="100" workbookViewId="0">
      <selection sqref="A1:B3"/>
    </sheetView>
  </sheetViews>
  <sheetFormatPr defaultColWidth="8.68359375" defaultRowHeight="14.4" x14ac:dyDescent="0.55000000000000004"/>
  <cols>
    <col min="1" max="1" width="7" customWidth="1"/>
    <col min="2" max="2" width="34" customWidth="1"/>
    <col min="3" max="3" width="18" customWidth="1"/>
    <col min="4" max="4" width="26" customWidth="1"/>
    <col min="5" max="5" width="62" customWidth="1"/>
  </cols>
  <sheetData>
    <row r="1" spans="1:5" ht="43.5" customHeight="1" x14ac:dyDescent="0.55000000000000004">
      <c r="A1" s="6" t="s">
        <v>93</v>
      </c>
      <c r="B1" s="6"/>
      <c r="C1" s="5" t="s">
        <v>0</v>
      </c>
      <c r="D1" s="5"/>
      <c r="E1" s="5"/>
    </row>
    <row r="2" spans="1:5" ht="21.75" customHeight="1" x14ac:dyDescent="0.55000000000000004">
      <c r="A2" s="6"/>
      <c r="B2" s="6"/>
      <c r="C2" s="4" t="s">
        <v>335</v>
      </c>
      <c r="D2" s="4"/>
      <c r="E2" s="4"/>
    </row>
    <row r="3" spans="1:5" ht="21.75" customHeight="1" x14ac:dyDescent="0.55000000000000004">
      <c r="A3" s="6"/>
      <c r="B3" s="6"/>
      <c r="C3" s="3" t="s">
        <v>336</v>
      </c>
      <c r="D3" s="3"/>
      <c r="E3" s="3"/>
    </row>
    <row r="5" spans="1:5" ht="30" customHeight="1" x14ac:dyDescent="0.55000000000000004">
      <c r="A5" s="19" t="s">
        <v>195</v>
      </c>
      <c r="B5" s="19" t="s">
        <v>196</v>
      </c>
      <c r="C5" s="19" t="s">
        <v>197</v>
      </c>
      <c r="D5" s="19" t="s">
        <v>337</v>
      </c>
      <c r="E5" s="19" t="s">
        <v>338</v>
      </c>
    </row>
    <row r="6" spans="1:5" ht="27.75" customHeight="1" x14ac:dyDescent="0.55000000000000004">
      <c r="A6" s="20">
        <v>1</v>
      </c>
      <c r="B6" s="13" t="s">
        <v>339</v>
      </c>
      <c r="C6" s="15" t="s">
        <v>203</v>
      </c>
      <c r="D6" s="23" t="s">
        <v>340</v>
      </c>
      <c r="E6" s="22" t="s">
        <v>341</v>
      </c>
    </row>
    <row r="7" spans="1:5" ht="27.75" customHeight="1" x14ac:dyDescent="0.55000000000000004">
      <c r="A7" s="20">
        <v>2</v>
      </c>
      <c r="B7" s="13" t="s">
        <v>342</v>
      </c>
      <c r="C7" s="15" t="s">
        <v>213</v>
      </c>
      <c r="D7" s="23" t="s">
        <v>343</v>
      </c>
      <c r="E7" s="22" t="s">
        <v>344</v>
      </c>
    </row>
    <row r="8" spans="1:5" ht="27.75" customHeight="1" x14ac:dyDescent="0.55000000000000004">
      <c r="A8" s="20">
        <v>3</v>
      </c>
      <c r="B8" s="13" t="s">
        <v>345</v>
      </c>
      <c r="C8" s="15" t="s">
        <v>213</v>
      </c>
      <c r="D8" s="23" t="s">
        <v>164</v>
      </c>
      <c r="E8" s="22" t="s">
        <v>346</v>
      </c>
    </row>
    <row r="9" spans="1:5" ht="27.75" customHeight="1" x14ac:dyDescent="0.55000000000000004">
      <c r="A9" s="20">
        <v>4</v>
      </c>
      <c r="B9" s="13" t="s">
        <v>347</v>
      </c>
      <c r="C9" s="15" t="s">
        <v>348</v>
      </c>
      <c r="D9" s="23" t="s">
        <v>349</v>
      </c>
      <c r="E9" s="22" t="s">
        <v>350</v>
      </c>
    </row>
    <row r="10" spans="1:5" ht="27.75" customHeight="1" x14ac:dyDescent="0.55000000000000004">
      <c r="A10" s="20">
        <v>5</v>
      </c>
      <c r="B10" s="13" t="s">
        <v>351</v>
      </c>
      <c r="C10" s="15" t="s">
        <v>213</v>
      </c>
      <c r="D10" s="35">
        <v>500</v>
      </c>
      <c r="E10" s="22" t="s">
        <v>352</v>
      </c>
    </row>
    <row r="11" spans="1:5" ht="27.75" customHeight="1" x14ac:dyDescent="0.55000000000000004">
      <c r="A11" s="20">
        <v>6</v>
      </c>
      <c r="B11" s="13" t="s">
        <v>353</v>
      </c>
      <c r="C11" s="15" t="s">
        <v>213</v>
      </c>
      <c r="D11" s="35">
        <v>120</v>
      </c>
      <c r="E11" s="22" t="s">
        <v>354</v>
      </c>
    </row>
    <row r="12" spans="1:5" ht="27.75" customHeight="1" x14ac:dyDescent="0.55000000000000004">
      <c r="A12" s="20">
        <v>7</v>
      </c>
      <c r="B12" s="13" t="s">
        <v>355</v>
      </c>
      <c r="C12" s="15" t="s">
        <v>213</v>
      </c>
      <c r="D12" s="35">
        <v>30</v>
      </c>
      <c r="E12" s="22" t="s">
        <v>356</v>
      </c>
    </row>
    <row r="13" spans="1:5" ht="27.75" customHeight="1" x14ac:dyDescent="0.55000000000000004">
      <c r="A13" s="20">
        <v>8</v>
      </c>
      <c r="B13" s="13" t="s">
        <v>357</v>
      </c>
      <c r="C13" s="15" t="s">
        <v>358</v>
      </c>
      <c r="D13" s="35">
        <f>D10-D11-D12</f>
        <v>350</v>
      </c>
      <c r="E13" s="22" t="s">
        <v>359</v>
      </c>
    </row>
    <row r="14" spans="1:5" ht="30.75" customHeight="1" x14ac:dyDescent="0.55000000000000004">
      <c r="A14" s="20">
        <v>9</v>
      </c>
      <c r="B14" s="13" t="s">
        <v>360</v>
      </c>
      <c r="C14" s="15" t="s">
        <v>213</v>
      </c>
      <c r="D14" s="27">
        <v>3500</v>
      </c>
      <c r="E14" s="22" t="s">
        <v>361</v>
      </c>
    </row>
    <row r="15" spans="1:5" ht="27.75" customHeight="1" x14ac:dyDescent="0.55000000000000004">
      <c r="A15" s="20">
        <v>10</v>
      </c>
      <c r="B15" s="13" t="s">
        <v>362</v>
      </c>
      <c r="C15" s="15" t="s">
        <v>358</v>
      </c>
      <c r="D15" s="27">
        <f>D12*D14</f>
        <v>105000</v>
      </c>
      <c r="E15" s="22" t="s">
        <v>363</v>
      </c>
    </row>
    <row r="16" spans="1:5" ht="27.75" customHeight="1" x14ac:dyDescent="0.55000000000000004">
      <c r="A16" s="20">
        <v>11</v>
      </c>
      <c r="B16" s="13" t="s">
        <v>364</v>
      </c>
      <c r="C16" s="15" t="s">
        <v>358</v>
      </c>
      <c r="D16" s="27">
        <f>D15</f>
        <v>105000</v>
      </c>
      <c r="E16" s="22" t="s">
        <v>365</v>
      </c>
    </row>
    <row r="17" spans="1:5" ht="27.75" customHeight="1" x14ac:dyDescent="0.55000000000000004">
      <c r="A17" s="20">
        <v>12</v>
      </c>
      <c r="B17" s="13" t="s">
        <v>366</v>
      </c>
      <c r="C17" s="15" t="s">
        <v>213</v>
      </c>
      <c r="D17" s="36">
        <v>46305.607638888898</v>
      </c>
      <c r="E17" s="22" t="s">
        <v>367</v>
      </c>
    </row>
    <row r="18" spans="1:5" ht="30.75" customHeight="1" x14ac:dyDescent="0.55000000000000004">
      <c r="A18" s="20">
        <v>13</v>
      </c>
      <c r="B18" s="13" t="s">
        <v>115</v>
      </c>
      <c r="C18" s="15" t="s">
        <v>368</v>
      </c>
      <c r="D18" s="23" t="s">
        <v>369</v>
      </c>
      <c r="E18" s="22" t="s">
        <v>370</v>
      </c>
    </row>
    <row r="20" spans="1:5" ht="18" customHeight="1" x14ac:dyDescent="0.55000000000000004">
      <c r="A20" s="47" t="s">
        <v>371</v>
      </c>
      <c r="B20" s="47"/>
      <c r="C20" s="47"/>
      <c r="D20" s="47"/>
      <c r="E20" s="47"/>
    </row>
    <row r="21" spans="1:5" ht="30" customHeight="1" x14ac:dyDescent="0.55000000000000004">
      <c r="A21" s="19" t="s">
        <v>195</v>
      </c>
      <c r="B21" s="19" t="s">
        <v>372</v>
      </c>
      <c r="C21" s="19" t="s">
        <v>373</v>
      </c>
      <c r="D21" s="19" t="s">
        <v>217</v>
      </c>
      <c r="E21" s="19" t="s">
        <v>126</v>
      </c>
    </row>
    <row r="22" spans="1:5" ht="30.75" customHeight="1" x14ac:dyDescent="0.55000000000000004">
      <c r="A22" s="20">
        <v>1</v>
      </c>
      <c r="B22" s="15" t="s">
        <v>170</v>
      </c>
      <c r="C22" s="15" t="s">
        <v>374</v>
      </c>
      <c r="D22" s="27">
        <f>D16</f>
        <v>105000</v>
      </c>
      <c r="E22" s="22" t="s">
        <v>375</v>
      </c>
    </row>
    <row r="23" spans="1:5" ht="18" customHeight="1" x14ac:dyDescent="0.55000000000000004">
      <c r="A23" s="20">
        <v>2</v>
      </c>
      <c r="B23" s="15" t="s">
        <v>376</v>
      </c>
      <c r="C23" s="15" t="s">
        <v>377</v>
      </c>
      <c r="D23" s="27">
        <f>D15</f>
        <v>105000</v>
      </c>
      <c r="E23" s="22" t="s">
        <v>378</v>
      </c>
    </row>
    <row r="24" spans="1:5" ht="18" customHeight="1" x14ac:dyDescent="0.55000000000000004">
      <c r="A24" s="40" t="s">
        <v>379</v>
      </c>
      <c r="B24" s="40"/>
      <c r="C24" s="40"/>
      <c r="D24" s="34" t="str">
        <f>IF(ROUND(D22-D23,2)=0,"BALANCED","OUT OF BALANCE")</f>
        <v>BALANCED</v>
      </c>
      <c r="E24" s="15"/>
    </row>
    <row r="26" spans="1:5" ht="43.5" customHeight="1" x14ac:dyDescent="0.55000000000000004">
      <c r="A26" s="43" t="s">
        <v>380</v>
      </c>
      <c r="B26" s="43"/>
      <c r="C26" s="30" t="s">
        <v>381</v>
      </c>
      <c r="D26" s="43" t="s">
        <v>143</v>
      </c>
      <c r="E26" s="43"/>
    </row>
    <row r="27" spans="1:5" ht="19.5" customHeight="1" x14ac:dyDescent="0.55000000000000004">
      <c r="A27" s="8" t="s">
        <v>144</v>
      </c>
      <c r="B27" s="8"/>
      <c r="C27" s="15" t="s">
        <v>144</v>
      </c>
      <c r="D27" s="8" t="s">
        <v>144</v>
      </c>
      <c r="E27" s="8"/>
    </row>
    <row r="28" spans="1:5" ht="19.5" customHeight="1" x14ac:dyDescent="0.55000000000000004">
      <c r="A28" s="8" t="s">
        <v>145</v>
      </c>
      <c r="B28" s="8"/>
      <c r="C28" s="15" t="s">
        <v>145</v>
      </c>
      <c r="D28" s="8" t="s">
        <v>145</v>
      </c>
      <c r="E28" s="8"/>
    </row>
    <row r="29" spans="1:5" ht="43.5" customHeight="1" x14ac:dyDescent="0.55000000000000004">
      <c r="A29" s="44" t="s">
        <v>146</v>
      </c>
      <c r="B29" s="44"/>
      <c r="C29" s="31" t="s">
        <v>146</v>
      </c>
      <c r="D29" s="44" t="s">
        <v>146</v>
      </c>
      <c r="E29" s="44"/>
    </row>
    <row r="30" spans="1:5" ht="19.5" customHeight="1" x14ac:dyDescent="0.55000000000000004">
      <c r="A30" s="8" t="s">
        <v>147</v>
      </c>
      <c r="B30" s="8"/>
      <c r="C30" s="15" t="s">
        <v>147</v>
      </c>
      <c r="D30" s="8" t="s">
        <v>147</v>
      </c>
      <c r="E30" s="8"/>
    </row>
    <row r="32" spans="1:5" ht="18" customHeight="1" x14ac:dyDescent="0.55000000000000004">
      <c r="A32" s="9" t="s">
        <v>148</v>
      </c>
      <c r="B32" s="9"/>
      <c r="C32" s="9"/>
      <c r="D32" s="9"/>
      <c r="E32" s="9"/>
    </row>
    <row r="33" spans="1:5" ht="30.75" customHeight="1" x14ac:dyDescent="0.55000000000000004">
      <c r="A33" s="7" t="s">
        <v>382</v>
      </c>
      <c r="B33" s="7"/>
      <c r="C33" s="7"/>
      <c r="D33" s="7"/>
      <c r="E33" s="7"/>
    </row>
    <row r="34" spans="1:5" ht="25.5" customHeight="1" x14ac:dyDescent="0.55000000000000004">
      <c r="A34" s="7" t="s">
        <v>383</v>
      </c>
      <c r="B34" s="7"/>
      <c r="C34" s="7"/>
      <c r="D34" s="7"/>
      <c r="E34" s="7"/>
    </row>
    <row r="35" spans="1:5" ht="30.75" customHeight="1" x14ac:dyDescent="0.55000000000000004">
      <c r="A35" s="7" t="s">
        <v>384</v>
      </c>
      <c r="B35" s="7"/>
      <c r="C35" s="7"/>
      <c r="D35" s="7"/>
      <c r="E35" s="7"/>
    </row>
    <row r="36" spans="1:5" ht="30.75" customHeight="1" x14ac:dyDescent="0.55000000000000004">
      <c r="A36" s="7" t="s">
        <v>385</v>
      </c>
      <c r="B36" s="7"/>
      <c r="C36" s="7"/>
      <c r="D36" s="7"/>
      <c r="E36" s="7"/>
    </row>
    <row r="37" spans="1:5" ht="30.75" customHeight="1" x14ac:dyDescent="0.55000000000000004">
      <c r="A37" s="7" t="s">
        <v>386</v>
      </c>
      <c r="B37" s="7"/>
      <c r="C37" s="7"/>
      <c r="D37" s="7"/>
      <c r="E37" s="7"/>
    </row>
  </sheetData>
  <mergeCells count="22">
    <mergeCell ref="A37:E37"/>
    <mergeCell ref="A32:E32"/>
    <mergeCell ref="A33:E33"/>
    <mergeCell ref="A34:E34"/>
    <mergeCell ref="A35:E35"/>
    <mergeCell ref="A36:E36"/>
    <mergeCell ref="A28:B28"/>
    <mergeCell ref="D28:E28"/>
    <mergeCell ref="A29:B29"/>
    <mergeCell ref="D29:E29"/>
    <mergeCell ref="A30:B30"/>
    <mergeCell ref="D30:E30"/>
    <mergeCell ref="A24:C24"/>
    <mergeCell ref="A26:B26"/>
    <mergeCell ref="D26:E26"/>
    <mergeCell ref="A27:B27"/>
    <mergeCell ref="D27:E27"/>
    <mergeCell ref="A1:B3"/>
    <mergeCell ref="C1:E1"/>
    <mergeCell ref="C2:E2"/>
    <mergeCell ref="C3:E3"/>
    <mergeCell ref="A20:E20"/>
  </mergeCells>
  <pageMargins left="0.5" right="0.5" top="1" bottom="1" header="0.511811023622047" footer="0.5"/>
  <pageSetup paperSize="9" fitToHeight="0" orientation="portrait" horizontalDpi="300" verticalDpi="300"/>
  <headerFooter>
    <oddFooter>&amp;LFA-08 | Crest Point Consulting Group&amp;CPage &amp;P of &amp;N&amp;RStrictly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pageSetUpPr fitToPage="1"/>
  </sheetPr>
  <dimension ref="A1:F31"/>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93</v>
      </c>
      <c r="B1" s="6"/>
      <c r="C1" s="5" t="s">
        <v>0</v>
      </c>
      <c r="D1" s="5"/>
      <c r="E1" s="5"/>
      <c r="F1" s="5"/>
    </row>
    <row r="2" spans="1:6" ht="21.75" customHeight="1" x14ac:dyDescent="0.55000000000000004">
      <c r="A2" s="6"/>
      <c r="B2" s="6"/>
      <c r="C2" s="4" t="s">
        <v>387</v>
      </c>
      <c r="D2" s="4"/>
      <c r="E2" s="4"/>
      <c r="F2" s="4"/>
    </row>
    <row r="3" spans="1:6" ht="21.75" customHeight="1" x14ac:dyDescent="0.55000000000000004">
      <c r="A3" s="6"/>
      <c r="B3" s="6"/>
      <c r="C3" s="3" t="s">
        <v>388</v>
      </c>
      <c r="D3" s="3"/>
      <c r="E3" s="3"/>
      <c r="F3" s="3"/>
    </row>
    <row r="5" spans="1:6" ht="18" customHeight="1" x14ac:dyDescent="0.55000000000000004">
      <c r="A5" s="47" t="s">
        <v>389</v>
      </c>
      <c r="B5" s="47"/>
      <c r="C5" s="47"/>
      <c r="D5" s="47"/>
      <c r="E5" s="47"/>
      <c r="F5" s="47"/>
    </row>
    <row r="6" spans="1:6" ht="19.5" customHeight="1" x14ac:dyDescent="0.55000000000000004">
      <c r="A6" s="9" t="s">
        <v>390</v>
      </c>
      <c r="B6" s="9"/>
      <c r="C6" s="23" t="s">
        <v>391</v>
      </c>
      <c r="D6" s="13" t="s">
        <v>392</v>
      </c>
      <c r="E6" s="50">
        <v>46303</v>
      </c>
      <c r="F6" s="50"/>
    </row>
    <row r="7" spans="1:6" ht="19.5" customHeight="1" x14ac:dyDescent="0.55000000000000004">
      <c r="A7" s="9" t="s">
        <v>393</v>
      </c>
      <c r="B7" s="9"/>
      <c r="C7" s="23" t="s">
        <v>394</v>
      </c>
      <c r="D7" s="13" t="s">
        <v>101</v>
      </c>
      <c r="E7" s="1" t="s">
        <v>102</v>
      </c>
      <c r="F7" s="1"/>
    </row>
    <row r="8" spans="1:6" ht="19.5" customHeight="1" x14ac:dyDescent="0.55000000000000004">
      <c r="A8" s="9" t="s">
        <v>395</v>
      </c>
      <c r="B8" s="9"/>
      <c r="C8" s="23" t="s">
        <v>396</v>
      </c>
      <c r="D8" s="13" t="s">
        <v>397</v>
      </c>
      <c r="E8" s="51">
        <v>420000</v>
      </c>
      <c r="F8" s="51"/>
    </row>
    <row r="10" spans="1:6" ht="18" customHeight="1" x14ac:dyDescent="0.55000000000000004">
      <c r="A10" s="47" t="s">
        <v>398</v>
      </c>
      <c r="B10" s="47"/>
      <c r="C10" s="47"/>
      <c r="D10" s="47"/>
      <c r="E10" s="47"/>
      <c r="F10" s="47"/>
    </row>
    <row r="11" spans="1:6" ht="19.5" customHeight="1" x14ac:dyDescent="0.55000000000000004">
      <c r="A11" s="9" t="s">
        <v>399</v>
      </c>
      <c r="B11" s="9"/>
      <c r="C11" s="25" t="s">
        <v>400</v>
      </c>
      <c r="D11" s="13" t="s">
        <v>401</v>
      </c>
      <c r="E11" s="39" t="s">
        <v>402</v>
      </c>
      <c r="F11" s="39"/>
    </row>
    <row r="12" spans="1:6" ht="19.5" customHeight="1" x14ac:dyDescent="0.55000000000000004">
      <c r="A12" s="9" t="s">
        <v>403</v>
      </c>
      <c r="B12" s="9"/>
      <c r="C12" s="26">
        <v>1200000</v>
      </c>
      <c r="D12" s="13" t="s">
        <v>404</v>
      </c>
      <c r="E12" s="52">
        <v>650000</v>
      </c>
      <c r="F12" s="52"/>
    </row>
    <row r="13" spans="1:6" ht="19.5" customHeight="1" x14ac:dyDescent="0.55000000000000004">
      <c r="A13" s="9" t="s">
        <v>405</v>
      </c>
      <c r="B13" s="9"/>
      <c r="C13" s="27">
        <f>C12-E12</f>
        <v>550000</v>
      </c>
      <c r="D13" s="13" t="s">
        <v>406</v>
      </c>
      <c r="E13" s="48" t="str">
        <f>IF(C13&gt;=E8,"Budget exists","No budget - ED override required")</f>
        <v>Budget exists</v>
      </c>
      <c r="F13" s="48"/>
    </row>
    <row r="15" spans="1:6" ht="18" customHeight="1" x14ac:dyDescent="0.55000000000000004">
      <c r="A15" s="47" t="s">
        <v>407</v>
      </c>
      <c r="B15" s="47"/>
      <c r="C15" s="47"/>
      <c r="D15" s="47"/>
      <c r="E15" s="47"/>
      <c r="F15" s="47"/>
    </row>
    <row r="16" spans="1:6" ht="30.75" customHeight="1" x14ac:dyDescent="0.55000000000000004">
      <c r="A16" s="9" t="s">
        <v>408</v>
      </c>
      <c r="B16" s="9"/>
      <c r="C16" s="23" t="s">
        <v>409</v>
      </c>
      <c r="D16" s="13" t="s">
        <v>410</v>
      </c>
      <c r="E16" s="39" t="s">
        <v>411</v>
      </c>
      <c r="F16" s="39"/>
    </row>
    <row r="17" spans="1:6" ht="19.5" customHeight="1" x14ac:dyDescent="0.55000000000000004">
      <c r="A17" s="9" t="s">
        <v>412</v>
      </c>
      <c r="B17" s="9"/>
      <c r="C17" s="23" t="s">
        <v>413</v>
      </c>
      <c r="D17" s="13" t="s">
        <v>414</v>
      </c>
      <c r="E17" s="39" t="s">
        <v>415</v>
      </c>
      <c r="F17" s="39"/>
    </row>
    <row r="18" spans="1:6" ht="30.75" customHeight="1" x14ac:dyDescent="0.55000000000000004">
      <c r="A18" s="9" t="s">
        <v>416</v>
      </c>
      <c r="B18" s="9"/>
      <c r="C18" s="25"/>
      <c r="D18" s="13" t="s">
        <v>417</v>
      </c>
      <c r="E18" s="39" t="s">
        <v>418</v>
      </c>
      <c r="F18" s="39"/>
    </row>
    <row r="19" spans="1:6" ht="19.5" customHeight="1" x14ac:dyDescent="0.55000000000000004">
      <c r="A19" s="9" t="s">
        <v>419</v>
      </c>
      <c r="B19" s="9"/>
      <c r="C19" s="23" t="s">
        <v>420</v>
      </c>
      <c r="D19" s="13" t="s">
        <v>421</v>
      </c>
      <c r="E19" s="1" t="s">
        <v>422</v>
      </c>
      <c r="F19" s="1"/>
    </row>
    <row r="21" spans="1:6" ht="30.75" customHeight="1" x14ac:dyDescent="0.55000000000000004">
      <c r="A21" s="43" t="s">
        <v>141</v>
      </c>
      <c r="B21" s="43"/>
      <c r="C21" s="43"/>
      <c r="D21" s="43" t="s">
        <v>142</v>
      </c>
      <c r="E21" s="43"/>
      <c r="F21" s="43"/>
    </row>
    <row r="22" spans="1:6" ht="19.5" customHeight="1" x14ac:dyDescent="0.55000000000000004">
      <c r="A22" s="8" t="s">
        <v>144</v>
      </c>
      <c r="B22" s="8"/>
      <c r="C22" s="8"/>
      <c r="D22" s="8" t="s">
        <v>144</v>
      </c>
      <c r="E22" s="8"/>
      <c r="F22" s="8"/>
    </row>
    <row r="23" spans="1:6" ht="19.5" customHeight="1" x14ac:dyDescent="0.55000000000000004">
      <c r="A23" s="8" t="s">
        <v>145</v>
      </c>
      <c r="B23" s="8"/>
      <c r="C23" s="8"/>
      <c r="D23" s="8" t="s">
        <v>145</v>
      </c>
      <c r="E23" s="8"/>
      <c r="F23" s="8"/>
    </row>
    <row r="24" spans="1:6" ht="43.5" customHeight="1" x14ac:dyDescent="0.55000000000000004">
      <c r="A24" s="44" t="s">
        <v>146</v>
      </c>
      <c r="B24" s="44"/>
      <c r="C24" s="44"/>
      <c r="D24" s="44" t="s">
        <v>146</v>
      </c>
      <c r="E24" s="44"/>
      <c r="F24" s="44"/>
    </row>
    <row r="25" spans="1:6" ht="19.5" customHeight="1" x14ac:dyDescent="0.55000000000000004">
      <c r="A25" s="8" t="s">
        <v>147</v>
      </c>
      <c r="B25" s="8"/>
      <c r="C25" s="8"/>
      <c r="D25" s="8" t="s">
        <v>147</v>
      </c>
      <c r="E25" s="8"/>
      <c r="F25" s="8"/>
    </row>
    <row r="27" spans="1:6" ht="18" customHeight="1" x14ac:dyDescent="0.55000000000000004">
      <c r="A27" s="9" t="s">
        <v>148</v>
      </c>
      <c r="B27" s="9"/>
      <c r="C27" s="9"/>
      <c r="D27" s="9"/>
      <c r="E27" s="9"/>
      <c r="F27" s="9"/>
    </row>
    <row r="28" spans="1:6" ht="30.75" customHeight="1" x14ac:dyDescent="0.55000000000000004">
      <c r="A28" s="7" t="s">
        <v>423</v>
      </c>
      <c r="B28" s="7"/>
      <c r="C28" s="7"/>
      <c r="D28" s="7"/>
      <c r="E28" s="7"/>
      <c r="F28" s="7"/>
    </row>
    <row r="29" spans="1:6" ht="43.5" customHeight="1" x14ac:dyDescent="0.55000000000000004">
      <c r="A29" s="7" t="s">
        <v>424</v>
      </c>
      <c r="B29" s="7"/>
      <c r="C29" s="7"/>
      <c r="D29" s="7"/>
      <c r="E29" s="7"/>
      <c r="F29" s="7"/>
    </row>
    <row r="30" spans="1:6" ht="30.75" customHeight="1" x14ac:dyDescent="0.55000000000000004">
      <c r="A30" s="7" t="s">
        <v>425</v>
      </c>
      <c r="B30" s="7"/>
      <c r="C30" s="7"/>
      <c r="D30" s="7"/>
      <c r="E30" s="7"/>
      <c r="F30" s="7"/>
    </row>
    <row r="31" spans="1:6" ht="30.75" customHeight="1" x14ac:dyDescent="0.55000000000000004">
      <c r="A31" s="7" t="s">
        <v>426</v>
      </c>
      <c r="B31" s="7"/>
      <c r="C31" s="7"/>
      <c r="D31" s="7"/>
      <c r="E31" s="7"/>
      <c r="F31" s="7"/>
    </row>
  </sheetData>
  <mergeCells count="42">
    <mergeCell ref="A28:F28"/>
    <mergeCell ref="A29:F29"/>
    <mergeCell ref="A30:F30"/>
    <mergeCell ref="A31:F31"/>
    <mergeCell ref="A24:C24"/>
    <mergeCell ref="D24:F24"/>
    <mergeCell ref="A25:C25"/>
    <mergeCell ref="D25:F25"/>
    <mergeCell ref="A27:F27"/>
    <mergeCell ref="A21:C21"/>
    <mergeCell ref="D21:F21"/>
    <mergeCell ref="A22:C22"/>
    <mergeCell ref="D22:F22"/>
    <mergeCell ref="A23:C23"/>
    <mergeCell ref="D23:F23"/>
    <mergeCell ref="A17:B17"/>
    <mergeCell ref="E17:F17"/>
    <mergeCell ref="A18:B18"/>
    <mergeCell ref="E18:F18"/>
    <mergeCell ref="A19:B19"/>
    <mergeCell ref="E19:F19"/>
    <mergeCell ref="A13:B13"/>
    <mergeCell ref="E13:F13"/>
    <mergeCell ref="A15:F15"/>
    <mergeCell ref="A16:B16"/>
    <mergeCell ref="E16:F16"/>
    <mergeCell ref="A10:F10"/>
    <mergeCell ref="A11:B11"/>
    <mergeCell ref="E11:F11"/>
    <mergeCell ref="A12:B12"/>
    <mergeCell ref="E12:F12"/>
    <mergeCell ref="A6:B6"/>
    <mergeCell ref="E6:F6"/>
    <mergeCell ref="A7:B7"/>
    <mergeCell ref="E7:F7"/>
    <mergeCell ref="A8:B8"/>
    <mergeCell ref="E8:F8"/>
    <mergeCell ref="A1:B3"/>
    <mergeCell ref="C1:F1"/>
    <mergeCell ref="C2:F2"/>
    <mergeCell ref="C3:F3"/>
    <mergeCell ref="A5:F5"/>
  </mergeCells>
  <dataValidations count="1">
    <dataValidation type="list" allowBlank="1" sqref="E19" xr:uid="{00000000-0002-0000-0900-000000000000}">
      <formula1>"Yes,No"</formula1>
      <formula2>0</formula2>
    </dataValidation>
  </dataValidations>
  <pageMargins left="0.5" right="0.5" top="1" bottom="1" header="0.511811023622047" footer="0.5"/>
  <pageSetup paperSize="9" fitToHeight="0" orientation="portrait" horizontalDpi="300" verticalDpi="300"/>
  <headerFooter>
    <oddFooter>&amp;LFA-09 | Crest Point Consulting Group&amp;CPage &amp;P of &amp;N&amp;RStrictly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pageSetUpPr fitToPage="1"/>
  </sheetPr>
  <dimension ref="A1:F32"/>
  <sheetViews>
    <sheetView showGridLines="0" zoomScaleNormal="100" workbookViewId="0">
      <selection activeCell="C1" sqref="C1:F1"/>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93</v>
      </c>
      <c r="B1" s="6"/>
      <c r="C1" s="5" t="s">
        <v>0</v>
      </c>
      <c r="D1" s="5"/>
      <c r="E1" s="5"/>
      <c r="F1" s="5"/>
    </row>
    <row r="2" spans="1:6" ht="21.75" customHeight="1" x14ac:dyDescent="0.55000000000000004">
      <c r="A2" s="6"/>
      <c r="B2" s="6"/>
      <c r="C2" s="4" t="s">
        <v>427</v>
      </c>
      <c r="D2" s="4"/>
      <c r="E2" s="4"/>
      <c r="F2" s="4"/>
    </row>
    <row r="3" spans="1:6" ht="21.75" customHeight="1" x14ac:dyDescent="0.55000000000000004">
      <c r="A3" s="6"/>
      <c r="B3" s="6"/>
      <c r="C3" s="3" t="s">
        <v>428</v>
      </c>
      <c r="D3" s="3"/>
      <c r="E3" s="3"/>
      <c r="F3" s="3"/>
    </row>
    <row r="5" spans="1:6" ht="19.5" customHeight="1" x14ac:dyDescent="0.55000000000000004">
      <c r="A5" s="9" t="s">
        <v>429</v>
      </c>
      <c r="B5" s="9"/>
      <c r="C5" s="23" t="s">
        <v>430</v>
      </c>
      <c r="D5" s="13" t="s">
        <v>431</v>
      </c>
      <c r="E5" s="50">
        <v>46306</v>
      </c>
      <c r="F5" s="50"/>
    </row>
    <row r="6" spans="1:6" ht="19.5" customHeight="1" x14ac:dyDescent="0.55000000000000004">
      <c r="A6" s="9" t="s">
        <v>96</v>
      </c>
      <c r="B6" s="9"/>
      <c r="C6" s="23" t="s">
        <v>97</v>
      </c>
      <c r="D6" s="13" t="s">
        <v>217</v>
      </c>
      <c r="E6" s="51">
        <v>85000</v>
      </c>
      <c r="F6" s="51"/>
    </row>
    <row r="7" spans="1:6" ht="19.5" customHeight="1" x14ac:dyDescent="0.55000000000000004">
      <c r="A7" s="9" t="s">
        <v>432</v>
      </c>
      <c r="B7" s="9"/>
      <c r="C7" s="23" t="s">
        <v>110</v>
      </c>
      <c r="D7" s="13" t="s">
        <v>101</v>
      </c>
      <c r="E7" s="1" t="s">
        <v>102</v>
      </c>
      <c r="F7" s="1"/>
    </row>
    <row r="8" spans="1:6" ht="19.5" customHeight="1" x14ac:dyDescent="0.55000000000000004">
      <c r="A8" s="9" t="s">
        <v>433</v>
      </c>
      <c r="B8" s="9"/>
      <c r="C8" s="23" t="s">
        <v>434</v>
      </c>
      <c r="D8" s="13" t="s">
        <v>435</v>
      </c>
      <c r="E8" s="1" t="s">
        <v>436</v>
      </c>
      <c r="F8" s="1"/>
    </row>
    <row r="9" spans="1:6" ht="19.5" customHeight="1" x14ac:dyDescent="0.55000000000000004">
      <c r="A9" s="9" t="s">
        <v>437</v>
      </c>
      <c r="B9" s="9"/>
      <c r="C9" s="23" t="s">
        <v>438</v>
      </c>
      <c r="D9" s="13" t="s">
        <v>439</v>
      </c>
      <c r="E9" s="1" t="s">
        <v>440</v>
      </c>
      <c r="F9" s="1"/>
    </row>
    <row r="11" spans="1:6" ht="18" customHeight="1" x14ac:dyDescent="0.55000000000000004">
      <c r="A11" s="47" t="s">
        <v>441</v>
      </c>
      <c r="B11" s="47"/>
      <c r="C11" s="47"/>
      <c r="D11" s="47"/>
      <c r="E11" s="47"/>
      <c r="F11" s="47"/>
    </row>
    <row r="12" spans="1:6" ht="30.75" customHeight="1" x14ac:dyDescent="0.55000000000000004">
      <c r="A12" s="19" t="s">
        <v>123</v>
      </c>
      <c r="B12" s="53" t="s">
        <v>379</v>
      </c>
      <c r="C12" s="53"/>
      <c r="D12" s="53"/>
      <c r="E12" s="19" t="s">
        <v>442</v>
      </c>
      <c r="F12" s="19" t="s">
        <v>443</v>
      </c>
    </row>
    <row r="13" spans="1:6" ht="27.75" customHeight="1" x14ac:dyDescent="0.55000000000000004">
      <c r="A13" s="20">
        <v>1</v>
      </c>
      <c r="B13" s="8" t="s">
        <v>444</v>
      </c>
      <c r="C13" s="8"/>
      <c r="D13" s="8"/>
      <c r="E13" s="14" t="s">
        <v>206</v>
      </c>
      <c r="F13" s="25"/>
    </row>
    <row r="14" spans="1:6" ht="27.75" customHeight="1" x14ac:dyDescent="0.55000000000000004">
      <c r="A14" s="20">
        <v>2</v>
      </c>
      <c r="B14" s="8" t="s">
        <v>445</v>
      </c>
      <c r="C14" s="8"/>
      <c r="D14" s="8"/>
      <c r="E14" s="14" t="s">
        <v>206</v>
      </c>
      <c r="F14" s="25"/>
    </row>
    <row r="15" spans="1:6" ht="30.75" customHeight="1" x14ac:dyDescent="0.55000000000000004">
      <c r="A15" s="20">
        <v>3</v>
      </c>
      <c r="B15" s="8" t="s">
        <v>446</v>
      </c>
      <c r="C15" s="8"/>
      <c r="D15" s="8"/>
      <c r="E15" s="14" t="s">
        <v>206</v>
      </c>
      <c r="F15" s="25"/>
    </row>
    <row r="16" spans="1:6" ht="27.75" customHeight="1" x14ac:dyDescent="0.55000000000000004">
      <c r="A16" s="20">
        <v>4</v>
      </c>
      <c r="B16" s="8" t="s">
        <v>447</v>
      </c>
      <c r="C16" s="8"/>
      <c r="D16" s="8"/>
      <c r="E16" s="14" t="s">
        <v>206</v>
      </c>
      <c r="F16" s="25"/>
    </row>
    <row r="18" spans="1:6" ht="21.75" customHeight="1" x14ac:dyDescent="0.55000000000000004">
      <c r="A18" s="9" t="s">
        <v>448</v>
      </c>
      <c r="B18" s="9"/>
      <c r="C18" s="48" t="str">
        <f>IF(COUNTBLANK(E13:E16)&gt;0,"INCOMPLETE",IF(COUNTIF(E13:E16,"No")&gt;0,"REJECT","VERIFY"))</f>
        <v>VERIFY</v>
      </c>
      <c r="D18" s="48"/>
      <c r="E18" s="13" t="s">
        <v>449</v>
      </c>
      <c r="F18" s="37" t="s">
        <v>450</v>
      </c>
    </row>
    <row r="19" spans="1:6" ht="36" customHeight="1" x14ac:dyDescent="0.55000000000000004">
      <c r="A19" s="9" t="s">
        <v>451</v>
      </c>
      <c r="B19" s="9"/>
      <c r="C19" s="39"/>
      <c r="D19" s="39"/>
      <c r="E19" s="39"/>
      <c r="F19" s="39"/>
    </row>
    <row r="20" spans="1:6" ht="36" customHeight="1" x14ac:dyDescent="0.55000000000000004">
      <c r="A20" s="9" t="s">
        <v>452</v>
      </c>
      <c r="B20" s="9"/>
      <c r="C20" s="54" t="s">
        <v>453</v>
      </c>
      <c r="D20" s="54"/>
      <c r="E20" s="54"/>
      <c r="F20" s="54"/>
    </row>
    <row r="22" spans="1:6" ht="30.75" customHeight="1" x14ac:dyDescent="0.55000000000000004">
      <c r="A22" s="43" t="s">
        <v>141</v>
      </c>
      <c r="B22" s="43"/>
      <c r="C22" s="43"/>
      <c r="D22" s="30" t="s">
        <v>142</v>
      </c>
      <c r="E22" s="43" t="s">
        <v>143</v>
      </c>
      <c r="F22" s="43"/>
    </row>
    <row r="23" spans="1:6" ht="19.5" customHeight="1" x14ac:dyDescent="0.55000000000000004">
      <c r="A23" s="8" t="s">
        <v>144</v>
      </c>
      <c r="B23" s="8"/>
      <c r="C23" s="8"/>
      <c r="D23" s="15" t="s">
        <v>144</v>
      </c>
      <c r="E23" s="8" t="s">
        <v>144</v>
      </c>
      <c r="F23" s="8"/>
    </row>
    <row r="24" spans="1:6" ht="19.5" customHeight="1" x14ac:dyDescent="0.55000000000000004">
      <c r="A24" s="8" t="s">
        <v>145</v>
      </c>
      <c r="B24" s="8"/>
      <c r="C24" s="8"/>
      <c r="D24" s="15" t="s">
        <v>145</v>
      </c>
      <c r="E24" s="8" t="s">
        <v>145</v>
      </c>
      <c r="F24" s="8"/>
    </row>
    <row r="25" spans="1:6" ht="43.5" customHeight="1" x14ac:dyDescent="0.55000000000000004">
      <c r="A25" s="44" t="s">
        <v>146</v>
      </c>
      <c r="B25" s="44"/>
      <c r="C25" s="44"/>
      <c r="D25" s="31" t="s">
        <v>146</v>
      </c>
      <c r="E25" s="44" t="s">
        <v>146</v>
      </c>
      <c r="F25" s="44"/>
    </row>
    <row r="26" spans="1:6" ht="19.5" customHeight="1" x14ac:dyDescent="0.55000000000000004">
      <c r="A26" s="8" t="s">
        <v>147</v>
      </c>
      <c r="B26" s="8"/>
      <c r="C26" s="8"/>
      <c r="D26" s="15" t="s">
        <v>147</v>
      </c>
      <c r="E26" s="8" t="s">
        <v>147</v>
      </c>
      <c r="F26" s="8"/>
    </row>
    <row r="28" spans="1:6" ht="18" customHeight="1" x14ac:dyDescent="0.55000000000000004">
      <c r="A28" s="9" t="s">
        <v>148</v>
      </c>
      <c r="B28" s="9"/>
      <c r="C28" s="9"/>
      <c r="D28" s="9"/>
      <c r="E28" s="9"/>
      <c r="F28" s="9"/>
    </row>
    <row r="29" spans="1:6" ht="30.75" customHeight="1" x14ac:dyDescent="0.55000000000000004">
      <c r="A29" s="7" t="s">
        <v>454</v>
      </c>
      <c r="B29" s="7"/>
      <c r="C29" s="7"/>
      <c r="D29" s="7"/>
      <c r="E29" s="7"/>
      <c r="F29" s="7"/>
    </row>
    <row r="30" spans="1:6" ht="30.75" customHeight="1" x14ac:dyDescent="0.55000000000000004">
      <c r="A30" s="7" t="s">
        <v>455</v>
      </c>
      <c r="B30" s="7"/>
      <c r="C30" s="7"/>
      <c r="D30" s="7"/>
      <c r="E30" s="7"/>
      <c r="F30" s="7"/>
    </row>
    <row r="31" spans="1:6" ht="30.75" customHeight="1" x14ac:dyDescent="0.55000000000000004">
      <c r="A31" s="7" t="s">
        <v>456</v>
      </c>
      <c r="B31" s="7"/>
      <c r="C31" s="7"/>
      <c r="D31" s="7"/>
      <c r="E31" s="7"/>
      <c r="F31" s="7"/>
    </row>
    <row r="32" spans="1:6" ht="30.75" customHeight="1" x14ac:dyDescent="0.55000000000000004">
      <c r="A32" s="7" t="s">
        <v>308</v>
      </c>
      <c r="B32" s="7"/>
      <c r="C32" s="7"/>
      <c r="D32" s="7"/>
      <c r="E32" s="7"/>
      <c r="F32" s="7"/>
    </row>
  </sheetData>
  <mergeCells count="41">
    <mergeCell ref="A31:F31"/>
    <mergeCell ref="A32:F32"/>
    <mergeCell ref="A26:C26"/>
    <mergeCell ref="E26:F26"/>
    <mergeCell ref="A28:F28"/>
    <mergeCell ref="A29:F29"/>
    <mergeCell ref="A30:F30"/>
    <mergeCell ref="A23:C23"/>
    <mergeCell ref="E23:F23"/>
    <mergeCell ref="A24:C24"/>
    <mergeCell ref="E24:F24"/>
    <mergeCell ref="A25:C25"/>
    <mergeCell ref="E25:F25"/>
    <mergeCell ref="A19:B19"/>
    <mergeCell ref="C19:F19"/>
    <mergeCell ref="A20:B20"/>
    <mergeCell ref="C20:F20"/>
    <mergeCell ref="A22:C22"/>
    <mergeCell ref="E22:F22"/>
    <mergeCell ref="B14:D14"/>
    <mergeCell ref="B15:D15"/>
    <mergeCell ref="B16:D16"/>
    <mergeCell ref="A18:B18"/>
    <mergeCell ref="C18:D18"/>
    <mergeCell ref="A9:B9"/>
    <mergeCell ref="E9:F9"/>
    <mergeCell ref="A11:F11"/>
    <mergeCell ref="B12:D12"/>
    <mergeCell ref="B13:D13"/>
    <mergeCell ref="A6:B6"/>
    <mergeCell ref="E6:F6"/>
    <mergeCell ref="A7:B7"/>
    <mergeCell ref="E7:F7"/>
    <mergeCell ref="A8:B8"/>
    <mergeCell ref="E8:F8"/>
    <mergeCell ref="A1:B3"/>
    <mergeCell ref="C1:F1"/>
    <mergeCell ref="C2:F2"/>
    <mergeCell ref="C3:F3"/>
    <mergeCell ref="A5:B5"/>
    <mergeCell ref="E5:F5"/>
  </mergeCells>
  <dataValidations count="2">
    <dataValidation type="list" allowBlank="1" sqref="E13:E16" xr:uid="{00000000-0002-0000-0A00-000000000000}">
      <formula1>"Yes,No"</formula1>
      <formula2>0</formula2>
    </dataValidation>
    <dataValidation type="list" allowBlank="1" sqref="F18" xr:uid="{00000000-0002-0000-0A00-000001000000}">
      <formula1>"Verified,Rejected"</formula1>
      <formula2>0</formula2>
    </dataValidation>
  </dataValidations>
  <pageMargins left="0.5" right="0.5" top="1" bottom="1" header="0.511811023622047" footer="0.5"/>
  <pageSetup paperSize="9" fitToHeight="0" orientation="portrait" horizontalDpi="300" verticalDpi="300"/>
  <headerFooter>
    <oddFooter>&amp;LFA-10 | Crest Point Consulting Group&amp;CPage &amp;P of &amp;N&amp;RStrictly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pageSetUpPr fitToPage="1"/>
  </sheetPr>
  <dimension ref="A1:F37"/>
  <sheetViews>
    <sheetView showGridLines="0" zoomScaleNormal="100" workbookViewId="0">
      <selection sqref="A1:B3"/>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93</v>
      </c>
      <c r="B1" s="6"/>
      <c r="C1" s="5" t="s">
        <v>0</v>
      </c>
      <c r="D1" s="5"/>
      <c r="E1" s="5"/>
      <c r="F1" s="5"/>
    </row>
    <row r="2" spans="1:6" ht="21.75" customHeight="1" x14ac:dyDescent="0.55000000000000004">
      <c r="A2" s="6"/>
      <c r="B2" s="6"/>
      <c r="C2" s="4" t="s">
        <v>457</v>
      </c>
      <c r="D2" s="4"/>
      <c r="E2" s="4"/>
      <c r="F2" s="4"/>
    </row>
    <row r="3" spans="1:6" ht="21.75" customHeight="1" x14ac:dyDescent="0.55000000000000004">
      <c r="A3" s="6"/>
      <c r="B3" s="6"/>
      <c r="C3" s="3" t="s">
        <v>458</v>
      </c>
      <c r="D3" s="3"/>
      <c r="E3" s="3"/>
      <c r="F3" s="3"/>
    </row>
    <row r="5" spans="1:6" ht="18" customHeight="1" x14ac:dyDescent="0.55000000000000004">
      <c r="A5" s="47" t="s">
        <v>459</v>
      </c>
      <c r="B5" s="47"/>
      <c r="C5" s="47"/>
      <c r="D5" s="47"/>
      <c r="E5" s="47"/>
      <c r="F5" s="47"/>
    </row>
    <row r="6" spans="1:6" ht="19.5" customHeight="1" x14ac:dyDescent="0.55000000000000004">
      <c r="A6" s="9" t="s">
        <v>460</v>
      </c>
      <c r="B6" s="9"/>
      <c r="C6" s="23" t="s">
        <v>461</v>
      </c>
      <c r="D6" s="13" t="s">
        <v>462</v>
      </c>
      <c r="E6" s="55">
        <v>46304.425000000003</v>
      </c>
      <c r="F6" s="55"/>
    </row>
    <row r="7" spans="1:6" ht="19.5" customHeight="1" x14ac:dyDescent="0.55000000000000004">
      <c r="A7" s="9" t="s">
        <v>463</v>
      </c>
      <c r="B7" s="9"/>
      <c r="C7" s="23" t="s">
        <v>464</v>
      </c>
      <c r="D7" s="13" t="s">
        <v>101</v>
      </c>
      <c r="E7" s="1" t="s">
        <v>102</v>
      </c>
      <c r="F7" s="1"/>
    </row>
    <row r="8" spans="1:6" ht="19.5" customHeight="1" x14ac:dyDescent="0.55000000000000004">
      <c r="A8" s="9" t="s">
        <v>465</v>
      </c>
      <c r="B8" s="9"/>
      <c r="C8" s="25" t="s">
        <v>100</v>
      </c>
      <c r="D8" s="13" t="s">
        <v>339</v>
      </c>
      <c r="E8" s="39" t="s">
        <v>466</v>
      </c>
      <c r="F8" s="39"/>
    </row>
    <row r="9" spans="1:6" ht="30.75" customHeight="1" x14ac:dyDescent="0.55000000000000004">
      <c r="A9" s="9" t="s">
        <v>467</v>
      </c>
      <c r="B9" s="9"/>
      <c r="C9" s="23" t="s">
        <v>468</v>
      </c>
      <c r="D9" s="13" t="s">
        <v>469</v>
      </c>
      <c r="E9" s="1" t="s">
        <v>470</v>
      </c>
      <c r="F9" s="1"/>
    </row>
    <row r="10" spans="1:6" ht="30" customHeight="1" x14ac:dyDescent="0.55000000000000004">
      <c r="A10" s="9" t="s">
        <v>471</v>
      </c>
      <c r="B10" s="9"/>
      <c r="C10" s="39" t="s">
        <v>472</v>
      </c>
      <c r="D10" s="39"/>
      <c r="E10" s="39"/>
      <c r="F10" s="39"/>
    </row>
    <row r="11" spans="1:6" ht="30" customHeight="1" x14ac:dyDescent="0.55000000000000004">
      <c r="A11" s="9" t="s">
        <v>473</v>
      </c>
      <c r="B11" s="9"/>
      <c r="C11" s="39" t="s">
        <v>474</v>
      </c>
      <c r="D11" s="39"/>
      <c r="E11" s="39"/>
      <c r="F11" s="39"/>
    </row>
    <row r="12" spans="1:6" ht="30" customHeight="1" x14ac:dyDescent="0.55000000000000004">
      <c r="A12" s="9" t="s">
        <v>475</v>
      </c>
      <c r="B12" s="9"/>
      <c r="C12" s="39" t="s">
        <v>476</v>
      </c>
      <c r="D12" s="39"/>
      <c r="E12" s="39"/>
      <c r="F12" s="39"/>
    </row>
    <row r="14" spans="1:6" ht="18" customHeight="1" x14ac:dyDescent="0.55000000000000004">
      <c r="A14" s="47" t="s">
        <v>477</v>
      </c>
      <c r="B14" s="47"/>
      <c r="C14" s="47"/>
      <c r="D14" s="47"/>
      <c r="E14" s="47"/>
      <c r="F14" s="47"/>
    </row>
    <row r="15" spans="1:6" ht="19.5" customHeight="1" x14ac:dyDescent="0.55000000000000004">
      <c r="A15" s="9" t="s">
        <v>478</v>
      </c>
      <c r="B15" s="9"/>
      <c r="C15" s="25" t="s">
        <v>479</v>
      </c>
      <c r="D15" s="13" t="s">
        <v>480</v>
      </c>
      <c r="E15" s="55">
        <v>46304.486111111102</v>
      </c>
      <c r="F15" s="55"/>
    </row>
    <row r="16" spans="1:6" ht="30.75" customHeight="1" x14ac:dyDescent="0.55000000000000004">
      <c r="A16" s="9" t="s">
        <v>481</v>
      </c>
      <c r="B16" s="9"/>
      <c r="C16" s="39"/>
      <c r="D16" s="39"/>
      <c r="E16" s="39"/>
      <c r="F16" s="39"/>
    </row>
    <row r="17" spans="1:6" ht="30.75" customHeight="1" x14ac:dyDescent="0.55000000000000004">
      <c r="A17" s="9" t="s">
        <v>482</v>
      </c>
      <c r="B17" s="9"/>
      <c r="C17" s="23" t="s">
        <v>483</v>
      </c>
      <c r="D17" s="13" t="s">
        <v>484</v>
      </c>
      <c r="E17" s="1" t="s">
        <v>422</v>
      </c>
      <c r="F17" s="1"/>
    </row>
    <row r="19" spans="1:6" ht="18" customHeight="1" x14ac:dyDescent="0.55000000000000004">
      <c r="A19" s="47" t="s">
        <v>485</v>
      </c>
      <c r="B19" s="47"/>
      <c r="C19" s="47"/>
      <c r="D19" s="47"/>
      <c r="E19" s="47"/>
      <c r="F19" s="47"/>
    </row>
    <row r="20" spans="1:6" ht="30.75" customHeight="1" x14ac:dyDescent="0.55000000000000004">
      <c r="A20" s="9" t="s">
        <v>486</v>
      </c>
      <c r="B20" s="9"/>
      <c r="C20" s="36">
        <v>46304.503472222197</v>
      </c>
      <c r="D20" s="13" t="s">
        <v>487</v>
      </c>
      <c r="E20" s="1" t="s">
        <v>488</v>
      </c>
      <c r="F20" s="1"/>
    </row>
    <row r="22" spans="1:6" ht="18" customHeight="1" x14ac:dyDescent="0.55000000000000004">
      <c r="A22" s="47" t="s">
        <v>489</v>
      </c>
      <c r="B22" s="47"/>
      <c r="C22" s="47"/>
      <c r="D22" s="47"/>
      <c r="E22" s="47"/>
      <c r="F22" s="47"/>
    </row>
    <row r="23" spans="1:6" ht="18" customHeight="1" x14ac:dyDescent="0.55000000000000004">
      <c r="A23" s="9" t="s">
        <v>490</v>
      </c>
      <c r="B23" s="9"/>
      <c r="C23" s="9"/>
      <c r="D23" s="56" t="s">
        <v>491</v>
      </c>
      <c r="E23" s="56"/>
      <c r="F23" s="56"/>
    </row>
    <row r="24" spans="1:6" ht="18" customHeight="1" x14ac:dyDescent="0.55000000000000004">
      <c r="A24" s="9" t="s">
        <v>492</v>
      </c>
      <c r="B24" s="9"/>
      <c r="C24" s="9"/>
      <c r="D24" s="56" t="s">
        <v>491</v>
      </c>
      <c r="E24" s="56"/>
      <c r="F24" s="56"/>
    </row>
    <row r="25" spans="1:6" ht="18" customHeight="1" x14ac:dyDescent="0.55000000000000004">
      <c r="A25" s="9" t="s">
        <v>493</v>
      </c>
      <c r="B25" s="9"/>
      <c r="C25" s="9"/>
      <c r="D25" s="56" t="s">
        <v>491</v>
      </c>
      <c r="E25" s="56"/>
      <c r="F25" s="56"/>
    </row>
    <row r="26" spans="1:6" ht="18" customHeight="1" x14ac:dyDescent="0.55000000000000004">
      <c r="A26" s="9" t="s">
        <v>494</v>
      </c>
      <c r="B26" s="9"/>
      <c r="C26" s="9"/>
      <c r="D26" s="56" t="s">
        <v>491</v>
      </c>
      <c r="E26" s="56"/>
      <c r="F26" s="56"/>
    </row>
    <row r="28" spans="1:6" ht="30.75" customHeight="1" x14ac:dyDescent="0.55000000000000004">
      <c r="A28" s="43" t="s">
        <v>495</v>
      </c>
      <c r="B28" s="43"/>
      <c r="C28" s="43"/>
      <c r="D28" s="43" t="s">
        <v>496</v>
      </c>
      <c r="E28" s="43"/>
      <c r="F28" s="43"/>
    </row>
    <row r="29" spans="1:6" ht="19.5" customHeight="1" x14ac:dyDescent="0.55000000000000004">
      <c r="A29" s="8" t="s">
        <v>144</v>
      </c>
      <c r="B29" s="8"/>
      <c r="C29" s="8"/>
      <c r="D29" s="8" t="s">
        <v>144</v>
      </c>
      <c r="E29" s="8"/>
      <c r="F29" s="8"/>
    </row>
    <row r="30" spans="1:6" ht="19.5" customHeight="1" x14ac:dyDescent="0.55000000000000004">
      <c r="A30" s="8" t="s">
        <v>145</v>
      </c>
      <c r="B30" s="8"/>
      <c r="C30" s="8"/>
      <c r="D30" s="8" t="s">
        <v>145</v>
      </c>
      <c r="E30" s="8"/>
      <c r="F30" s="8"/>
    </row>
    <row r="31" spans="1:6" ht="43.5" customHeight="1" x14ac:dyDescent="0.55000000000000004">
      <c r="A31" s="44" t="s">
        <v>146</v>
      </c>
      <c r="B31" s="44"/>
      <c r="C31" s="44"/>
      <c r="D31" s="44" t="s">
        <v>146</v>
      </c>
      <c r="E31" s="44"/>
      <c r="F31" s="44"/>
    </row>
    <row r="32" spans="1:6" ht="19.5" customHeight="1" x14ac:dyDescent="0.55000000000000004">
      <c r="A32" s="8" t="s">
        <v>147</v>
      </c>
      <c r="B32" s="8"/>
      <c r="C32" s="8"/>
      <c r="D32" s="8" t="s">
        <v>147</v>
      </c>
      <c r="E32" s="8"/>
      <c r="F32" s="8"/>
    </row>
    <row r="34" spans="1:6" ht="18" customHeight="1" x14ac:dyDescent="0.55000000000000004">
      <c r="A34" s="9" t="s">
        <v>148</v>
      </c>
      <c r="B34" s="9"/>
      <c r="C34" s="9"/>
      <c r="D34" s="9"/>
      <c r="E34" s="9"/>
      <c r="F34" s="9"/>
    </row>
    <row r="35" spans="1:6" ht="30.75" customHeight="1" x14ac:dyDescent="0.55000000000000004">
      <c r="A35" s="7" t="s">
        <v>497</v>
      </c>
      <c r="B35" s="7"/>
      <c r="C35" s="7"/>
      <c r="D35" s="7"/>
      <c r="E35" s="7"/>
      <c r="F35" s="7"/>
    </row>
    <row r="36" spans="1:6" ht="30.75" customHeight="1" x14ac:dyDescent="0.55000000000000004">
      <c r="A36" s="7" t="s">
        <v>498</v>
      </c>
      <c r="B36" s="7"/>
      <c r="C36" s="7"/>
      <c r="D36" s="7"/>
      <c r="E36" s="7"/>
      <c r="F36" s="7"/>
    </row>
    <row r="37" spans="1:6" ht="30.75" customHeight="1" x14ac:dyDescent="0.55000000000000004">
      <c r="A37" s="7" t="s">
        <v>499</v>
      </c>
      <c r="B37" s="7"/>
      <c r="C37" s="7"/>
      <c r="D37" s="7"/>
      <c r="E37" s="7"/>
      <c r="F37" s="7"/>
    </row>
  </sheetData>
  <mergeCells count="52">
    <mergeCell ref="A35:F35"/>
    <mergeCell ref="A36:F36"/>
    <mergeCell ref="A37:F37"/>
    <mergeCell ref="A31:C31"/>
    <mergeCell ref="D31:F31"/>
    <mergeCell ref="A32:C32"/>
    <mergeCell ref="D32:F32"/>
    <mergeCell ref="A34:F34"/>
    <mergeCell ref="A28:C28"/>
    <mergeCell ref="D28:F28"/>
    <mergeCell ref="A29:C29"/>
    <mergeCell ref="D29:F29"/>
    <mergeCell ref="A30:C30"/>
    <mergeCell ref="D30:F30"/>
    <mergeCell ref="A24:C24"/>
    <mergeCell ref="D24:F24"/>
    <mergeCell ref="A25:C25"/>
    <mergeCell ref="D25:F25"/>
    <mergeCell ref="A26:C26"/>
    <mergeCell ref="D26:F26"/>
    <mergeCell ref="A20:B20"/>
    <mergeCell ref="E20:F20"/>
    <mergeCell ref="A22:F22"/>
    <mergeCell ref="A23:C23"/>
    <mergeCell ref="D23:F23"/>
    <mergeCell ref="A16:B16"/>
    <mergeCell ref="C16:F16"/>
    <mergeCell ref="A17:B17"/>
    <mergeCell ref="E17:F17"/>
    <mergeCell ref="A19:F19"/>
    <mergeCell ref="A12:B12"/>
    <mergeCell ref="C12:F12"/>
    <mergeCell ref="A14:F14"/>
    <mergeCell ref="A15:B15"/>
    <mergeCell ref="E15:F15"/>
    <mergeCell ref="A9:B9"/>
    <mergeCell ref="E9:F9"/>
    <mergeCell ref="A10:B10"/>
    <mergeCell ref="C10:F10"/>
    <mergeCell ref="A11:B11"/>
    <mergeCell ref="C11:F11"/>
    <mergeCell ref="A6:B6"/>
    <mergeCell ref="E6:F6"/>
    <mergeCell ref="A7:B7"/>
    <mergeCell ref="E7:F7"/>
    <mergeCell ref="A8:B8"/>
    <mergeCell ref="E8:F8"/>
    <mergeCell ref="A1:B3"/>
    <mergeCell ref="C1:F1"/>
    <mergeCell ref="C2:F2"/>
    <mergeCell ref="C3:F3"/>
    <mergeCell ref="A5:F5"/>
  </mergeCells>
  <dataValidations count="2">
    <dataValidation type="list" allowBlank="1" sqref="C8" xr:uid="{00000000-0002-0000-0B00-000000000000}">
      <formula1>"Payment Voucher (PV),Receipt Voucher (RV),Journal Voucher (JV),Bank reconciliation,Other"</formula1>
      <formula2>0</formula2>
    </dataValidation>
    <dataValidation type="list" allowBlank="1" sqref="C15" xr:uid="{00000000-0002-0000-0B00-000001000000}">
      <formula1>"Approved,Rejected"</formula1>
      <formula2>0</formula2>
    </dataValidation>
  </dataValidations>
  <pageMargins left="0.5" right="0.5" top="1" bottom="1" header="0.511811023622047" footer="0.5"/>
  <pageSetup paperSize="9" fitToHeight="0" orientation="portrait" horizontalDpi="300" verticalDpi="300"/>
  <headerFooter>
    <oddFooter>&amp;LFA-11 | Crest Point Consulting Group&amp;CPage &amp;P of &amp;N&amp;RStrictly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pageSetUpPr fitToPage="1"/>
  </sheetPr>
  <dimension ref="A1:K23"/>
  <sheetViews>
    <sheetView showGridLines="0" zoomScaleNormal="100" workbookViewId="0">
      <pane ySplit="5" topLeftCell="A6" activePane="bottomLeft" state="frozen"/>
      <selection pane="bottomLeft" activeCell="A6" sqref="A6"/>
    </sheetView>
  </sheetViews>
  <sheetFormatPr defaultColWidth="8.68359375" defaultRowHeight="14.4" x14ac:dyDescent="0.55000000000000004"/>
  <cols>
    <col min="1" max="1" width="12" customWidth="1"/>
    <col min="2" max="2" width="9" customWidth="1"/>
    <col min="3" max="3" width="12" customWidth="1"/>
    <col min="4" max="4" width="20" customWidth="1"/>
    <col min="5" max="6" width="14" customWidth="1"/>
    <col min="7" max="7" width="7" customWidth="1"/>
    <col min="8" max="8" width="14" customWidth="1"/>
    <col min="9" max="9" width="18" customWidth="1"/>
    <col min="10" max="10" width="16" customWidth="1"/>
    <col min="11" max="11" width="40" customWidth="1"/>
  </cols>
  <sheetData>
    <row r="1" spans="1:11" ht="30.75" customHeight="1" x14ac:dyDescent="0.55000000000000004">
      <c r="A1" s="6" t="s">
        <v>93</v>
      </c>
      <c r="B1" s="6"/>
      <c r="C1" s="5" t="s">
        <v>0</v>
      </c>
      <c r="D1" s="5"/>
      <c r="E1" s="5"/>
      <c r="F1" s="5"/>
      <c r="G1" s="5"/>
      <c r="H1" s="5"/>
      <c r="I1" s="5"/>
      <c r="J1" s="5"/>
      <c r="K1" s="5"/>
    </row>
    <row r="2" spans="1:11" ht="21.75" customHeight="1" x14ac:dyDescent="0.55000000000000004">
      <c r="A2" s="6"/>
      <c r="B2" s="6"/>
      <c r="C2" s="4" t="s">
        <v>500</v>
      </c>
      <c r="D2" s="4"/>
      <c r="E2" s="4"/>
      <c r="F2" s="4"/>
      <c r="G2" s="4"/>
      <c r="H2" s="4"/>
      <c r="I2" s="4"/>
      <c r="J2" s="4"/>
      <c r="K2" s="4"/>
    </row>
    <row r="3" spans="1:11" ht="21.75" customHeight="1" x14ac:dyDescent="0.55000000000000004">
      <c r="A3" s="6"/>
      <c r="B3" s="6"/>
      <c r="C3" s="3" t="s">
        <v>501</v>
      </c>
      <c r="D3" s="3"/>
      <c r="E3" s="3"/>
      <c r="F3" s="3"/>
      <c r="G3" s="3"/>
      <c r="H3" s="3"/>
      <c r="I3" s="3"/>
      <c r="J3" s="3"/>
      <c r="K3" s="3"/>
    </row>
    <row r="5" spans="1:11" ht="33.75" customHeight="1" x14ac:dyDescent="0.55000000000000004">
      <c r="A5" s="19" t="s">
        <v>399</v>
      </c>
      <c r="B5" s="19" t="s">
        <v>502</v>
      </c>
      <c r="C5" s="19" t="s">
        <v>503</v>
      </c>
      <c r="D5" s="19" t="s">
        <v>504</v>
      </c>
      <c r="E5" s="19" t="s">
        <v>505</v>
      </c>
      <c r="F5" s="19" t="s">
        <v>506</v>
      </c>
      <c r="G5" s="19" t="s">
        <v>507</v>
      </c>
      <c r="H5" s="19" t="s">
        <v>115</v>
      </c>
      <c r="I5" s="19" t="s">
        <v>508</v>
      </c>
      <c r="J5" s="19" t="s">
        <v>509</v>
      </c>
      <c r="K5" s="19" t="s">
        <v>510</v>
      </c>
    </row>
    <row r="6" spans="1:11" ht="30.75" customHeight="1" x14ac:dyDescent="0.55000000000000004">
      <c r="A6" s="25" t="s">
        <v>511</v>
      </c>
      <c r="B6" s="14">
        <v>1</v>
      </c>
      <c r="C6" s="25" t="s">
        <v>512</v>
      </c>
      <c r="D6" s="25" t="s">
        <v>513</v>
      </c>
      <c r="E6" s="24">
        <v>46023</v>
      </c>
      <c r="F6" s="24">
        <v>46053</v>
      </c>
      <c r="G6" s="16">
        <f t="shared" ref="G6:G17" si="0">F6-E6+1</f>
        <v>31</v>
      </c>
      <c r="H6" s="14" t="s">
        <v>514</v>
      </c>
      <c r="I6" s="23" t="s">
        <v>515</v>
      </c>
      <c r="J6" s="36">
        <v>46056.375</v>
      </c>
      <c r="K6" s="38" t="s">
        <v>516</v>
      </c>
    </row>
    <row r="7" spans="1:11" ht="30.75" customHeight="1" x14ac:dyDescent="0.55000000000000004">
      <c r="A7" s="25" t="s">
        <v>511</v>
      </c>
      <c r="B7" s="14">
        <v>2</v>
      </c>
      <c r="C7" s="25" t="s">
        <v>512</v>
      </c>
      <c r="D7" s="25" t="s">
        <v>517</v>
      </c>
      <c r="E7" s="24">
        <v>46054</v>
      </c>
      <c r="F7" s="24">
        <v>46081</v>
      </c>
      <c r="G7" s="16">
        <f t="shared" si="0"/>
        <v>28</v>
      </c>
      <c r="H7" s="14" t="s">
        <v>514</v>
      </c>
      <c r="I7" s="23" t="s">
        <v>515</v>
      </c>
      <c r="J7" s="36">
        <v>46084.375</v>
      </c>
      <c r="K7" s="38" t="s">
        <v>516</v>
      </c>
    </row>
    <row r="8" spans="1:11" ht="30.75" customHeight="1" x14ac:dyDescent="0.55000000000000004">
      <c r="A8" s="25" t="s">
        <v>511</v>
      </c>
      <c r="B8" s="14">
        <v>3</v>
      </c>
      <c r="C8" s="25" t="s">
        <v>512</v>
      </c>
      <c r="D8" s="25" t="s">
        <v>518</v>
      </c>
      <c r="E8" s="24">
        <v>46082</v>
      </c>
      <c r="F8" s="24">
        <v>46112</v>
      </c>
      <c r="G8" s="16">
        <f t="shared" si="0"/>
        <v>31</v>
      </c>
      <c r="H8" s="14" t="s">
        <v>514</v>
      </c>
      <c r="I8" s="23" t="s">
        <v>515</v>
      </c>
      <c r="J8" s="36">
        <v>46115.375</v>
      </c>
      <c r="K8" s="38" t="s">
        <v>516</v>
      </c>
    </row>
    <row r="9" spans="1:11" ht="30.75" customHeight="1" x14ac:dyDescent="0.55000000000000004">
      <c r="A9" s="25" t="s">
        <v>511</v>
      </c>
      <c r="B9" s="14">
        <v>4</v>
      </c>
      <c r="C9" s="25" t="s">
        <v>512</v>
      </c>
      <c r="D9" s="25" t="s">
        <v>519</v>
      </c>
      <c r="E9" s="24">
        <v>46113</v>
      </c>
      <c r="F9" s="24">
        <v>46142</v>
      </c>
      <c r="G9" s="16">
        <f t="shared" si="0"/>
        <v>30</v>
      </c>
      <c r="H9" s="14" t="s">
        <v>514</v>
      </c>
      <c r="I9" s="23" t="s">
        <v>515</v>
      </c>
      <c r="J9" s="36">
        <v>46145.375</v>
      </c>
      <c r="K9" s="38" t="s">
        <v>516</v>
      </c>
    </row>
    <row r="10" spans="1:11" ht="30.75" customHeight="1" x14ac:dyDescent="0.55000000000000004">
      <c r="A10" s="25" t="s">
        <v>511</v>
      </c>
      <c r="B10" s="14">
        <v>5</v>
      </c>
      <c r="C10" s="25" t="s">
        <v>512</v>
      </c>
      <c r="D10" s="25" t="s">
        <v>520</v>
      </c>
      <c r="E10" s="24">
        <v>46143</v>
      </c>
      <c r="F10" s="24">
        <v>46173</v>
      </c>
      <c r="G10" s="16">
        <f t="shared" si="0"/>
        <v>31</v>
      </c>
      <c r="H10" s="14" t="s">
        <v>514</v>
      </c>
      <c r="I10" s="23" t="s">
        <v>515</v>
      </c>
      <c r="J10" s="36">
        <v>46176.375</v>
      </c>
      <c r="K10" s="38" t="s">
        <v>516</v>
      </c>
    </row>
    <row r="11" spans="1:11" ht="30.75" customHeight="1" x14ac:dyDescent="0.55000000000000004">
      <c r="A11" s="25" t="s">
        <v>511</v>
      </c>
      <c r="B11" s="14">
        <v>6</v>
      </c>
      <c r="C11" s="25" t="s">
        <v>512</v>
      </c>
      <c r="D11" s="25" t="s">
        <v>521</v>
      </c>
      <c r="E11" s="24">
        <v>46174</v>
      </c>
      <c r="F11" s="24">
        <v>46203</v>
      </c>
      <c r="G11" s="16">
        <f t="shared" si="0"/>
        <v>30</v>
      </c>
      <c r="H11" s="14" t="s">
        <v>514</v>
      </c>
      <c r="I11" s="23" t="s">
        <v>515</v>
      </c>
      <c r="J11" s="36">
        <v>46206.375</v>
      </c>
      <c r="K11" s="38" t="s">
        <v>516</v>
      </c>
    </row>
    <row r="12" spans="1:11" ht="30.75" customHeight="1" x14ac:dyDescent="0.55000000000000004">
      <c r="A12" s="25" t="s">
        <v>511</v>
      </c>
      <c r="B12" s="14">
        <v>7</v>
      </c>
      <c r="C12" s="25" t="s">
        <v>512</v>
      </c>
      <c r="D12" s="25" t="s">
        <v>522</v>
      </c>
      <c r="E12" s="24">
        <v>46204</v>
      </c>
      <c r="F12" s="24">
        <v>46234</v>
      </c>
      <c r="G12" s="16">
        <f t="shared" si="0"/>
        <v>31</v>
      </c>
      <c r="H12" s="14" t="s">
        <v>514</v>
      </c>
      <c r="I12" s="23" t="s">
        <v>515</v>
      </c>
      <c r="J12" s="36">
        <v>46237.375</v>
      </c>
      <c r="K12" s="38" t="s">
        <v>516</v>
      </c>
    </row>
    <row r="13" spans="1:11" ht="30.75" customHeight="1" x14ac:dyDescent="0.55000000000000004">
      <c r="A13" s="25" t="s">
        <v>511</v>
      </c>
      <c r="B13" s="14">
        <v>8</v>
      </c>
      <c r="C13" s="25" t="s">
        <v>512</v>
      </c>
      <c r="D13" s="25" t="s">
        <v>523</v>
      </c>
      <c r="E13" s="24">
        <v>46235</v>
      </c>
      <c r="F13" s="24">
        <v>46265</v>
      </c>
      <c r="G13" s="16">
        <f t="shared" si="0"/>
        <v>31</v>
      </c>
      <c r="H13" s="14" t="s">
        <v>514</v>
      </c>
      <c r="I13" s="23" t="s">
        <v>515</v>
      </c>
      <c r="J13" s="36">
        <v>46268.375</v>
      </c>
      <c r="K13" s="38" t="s">
        <v>516</v>
      </c>
    </row>
    <row r="14" spans="1:11" ht="30.75" customHeight="1" x14ac:dyDescent="0.55000000000000004">
      <c r="A14" s="25" t="s">
        <v>511</v>
      </c>
      <c r="B14" s="14">
        <v>9</v>
      </c>
      <c r="C14" s="25" t="s">
        <v>512</v>
      </c>
      <c r="D14" s="25" t="s">
        <v>524</v>
      </c>
      <c r="E14" s="24">
        <v>46266</v>
      </c>
      <c r="F14" s="24">
        <v>46295</v>
      </c>
      <c r="G14" s="16">
        <f t="shared" si="0"/>
        <v>30</v>
      </c>
      <c r="H14" s="14" t="s">
        <v>514</v>
      </c>
      <c r="I14" s="23" t="s">
        <v>515</v>
      </c>
      <c r="J14" s="36">
        <v>46298.375</v>
      </c>
      <c r="K14" s="38" t="s">
        <v>516</v>
      </c>
    </row>
    <row r="15" spans="1:11" ht="19.5" customHeight="1" x14ac:dyDescent="0.55000000000000004">
      <c r="A15" s="25" t="s">
        <v>511</v>
      </c>
      <c r="B15" s="14">
        <v>10</v>
      </c>
      <c r="C15" s="25" t="s">
        <v>512</v>
      </c>
      <c r="D15" s="25" t="s">
        <v>525</v>
      </c>
      <c r="E15" s="24">
        <v>46296</v>
      </c>
      <c r="F15" s="24">
        <v>46326</v>
      </c>
      <c r="G15" s="16">
        <f t="shared" si="0"/>
        <v>31</v>
      </c>
      <c r="H15" s="14" t="s">
        <v>526</v>
      </c>
      <c r="I15" s="23" t="s">
        <v>515</v>
      </c>
      <c r="J15" s="36">
        <v>46296.354166666701</v>
      </c>
      <c r="K15" s="38" t="s">
        <v>527</v>
      </c>
    </row>
    <row r="16" spans="1:11" ht="19.5" customHeight="1" x14ac:dyDescent="0.55000000000000004">
      <c r="A16" s="25" t="s">
        <v>511</v>
      </c>
      <c r="B16" s="14">
        <v>11</v>
      </c>
      <c r="C16" s="25" t="s">
        <v>512</v>
      </c>
      <c r="D16" s="25" t="s">
        <v>528</v>
      </c>
      <c r="E16" s="24">
        <v>46327</v>
      </c>
      <c r="F16" s="24">
        <v>46356</v>
      </c>
      <c r="G16" s="16">
        <f t="shared" si="0"/>
        <v>30</v>
      </c>
      <c r="H16" s="14" t="s">
        <v>529</v>
      </c>
      <c r="I16" s="23"/>
      <c r="J16" s="23"/>
      <c r="K16" s="38"/>
    </row>
    <row r="17" spans="1:11" ht="19.5" customHeight="1" x14ac:dyDescent="0.55000000000000004">
      <c r="A17" s="25" t="s">
        <v>511</v>
      </c>
      <c r="B17" s="14">
        <v>12</v>
      </c>
      <c r="C17" s="25" t="s">
        <v>512</v>
      </c>
      <c r="D17" s="25" t="s">
        <v>530</v>
      </c>
      <c r="E17" s="24">
        <v>46357</v>
      </c>
      <c r="F17" s="24">
        <v>46387</v>
      </c>
      <c r="G17" s="16">
        <f t="shared" si="0"/>
        <v>31</v>
      </c>
      <c r="H17" s="14" t="s">
        <v>529</v>
      </c>
      <c r="I17" s="23"/>
      <c r="J17" s="23"/>
      <c r="K17" s="38"/>
    </row>
    <row r="19" spans="1:11" ht="18" customHeight="1" x14ac:dyDescent="0.55000000000000004">
      <c r="A19" s="9" t="s">
        <v>148</v>
      </c>
      <c r="B19" s="9"/>
      <c r="C19" s="9"/>
      <c r="D19" s="9"/>
      <c r="E19" s="9"/>
      <c r="F19" s="9"/>
      <c r="G19" s="9"/>
      <c r="H19" s="9"/>
      <c r="I19" s="9"/>
      <c r="J19" s="9"/>
      <c r="K19" s="9"/>
    </row>
    <row r="20" spans="1:11" ht="30.75" customHeight="1" x14ac:dyDescent="0.55000000000000004">
      <c r="A20" s="7" t="s">
        <v>531</v>
      </c>
      <c r="B20" s="7"/>
      <c r="C20" s="7"/>
      <c r="D20" s="7"/>
      <c r="E20" s="7"/>
      <c r="F20" s="7"/>
      <c r="G20" s="7"/>
      <c r="H20" s="7"/>
      <c r="I20" s="7"/>
      <c r="J20" s="7"/>
      <c r="K20" s="7"/>
    </row>
    <row r="21" spans="1:11" ht="24" customHeight="1" x14ac:dyDescent="0.55000000000000004">
      <c r="A21" s="7" t="s">
        <v>532</v>
      </c>
      <c r="B21" s="7"/>
      <c r="C21" s="7"/>
      <c r="D21" s="7"/>
      <c r="E21" s="7"/>
      <c r="F21" s="7"/>
      <c r="G21" s="7"/>
      <c r="H21" s="7"/>
      <c r="I21" s="7"/>
      <c r="J21" s="7"/>
      <c r="K21" s="7"/>
    </row>
    <row r="22" spans="1:11" ht="30.75" customHeight="1" x14ac:dyDescent="0.55000000000000004">
      <c r="A22" s="7" t="s">
        <v>533</v>
      </c>
      <c r="B22" s="7"/>
      <c r="C22" s="7"/>
      <c r="D22" s="7"/>
      <c r="E22" s="7"/>
      <c r="F22" s="7"/>
      <c r="G22" s="7"/>
      <c r="H22" s="7"/>
      <c r="I22" s="7"/>
      <c r="J22" s="7"/>
      <c r="K22" s="7"/>
    </row>
    <row r="23" spans="1:11" ht="24" customHeight="1" x14ac:dyDescent="0.55000000000000004">
      <c r="A23" s="7" t="s">
        <v>534</v>
      </c>
      <c r="B23" s="7"/>
      <c r="C23" s="7"/>
      <c r="D23" s="7"/>
      <c r="E23" s="7"/>
      <c r="F23" s="7"/>
      <c r="G23" s="7"/>
      <c r="H23" s="7"/>
      <c r="I23" s="7"/>
      <c r="J23" s="7"/>
      <c r="K23" s="7"/>
    </row>
  </sheetData>
  <mergeCells count="9">
    <mergeCell ref="A20:K20"/>
    <mergeCell ref="A21:K21"/>
    <mergeCell ref="A22:K22"/>
    <mergeCell ref="A23:K23"/>
    <mergeCell ref="A1:B3"/>
    <mergeCell ref="C1:K1"/>
    <mergeCell ref="C2:K2"/>
    <mergeCell ref="C3:K3"/>
    <mergeCell ref="A19:K19"/>
  </mergeCells>
  <dataValidations count="1">
    <dataValidation type="list" allowBlank="1" sqref="H6:H17" xr:uid="{00000000-0002-0000-0C00-000000000000}">
      <formula1>"Not opened,Open,Closed,Re-opened"</formula1>
      <formula2>0</formula2>
    </dataValidation>
  </dataValidations>
  <pageMargins left="0.5" right="0.5" top="1" bottom="1" header="0.511811023622047" footer="0.5"/>
  <pageSetup paperSize="9" fitToHeight="0" orientation="landscape" horizontalDpi="300" verticalDpi="300"/>
  <headerFooter>
    <oddFooter>&amp;LFA-12 | Crest Point Consulting Group&amp;CPage &amp;P of &amp;N&amp;RStrictly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pageSetUpPr fitToPage="1"/>
  </sheetPr>
  <dimension ref="A1:F30"/>
  <sheetViews>
    <sheetView showGridLines="0" zoomScaleNormal="100" workbookViewId="0">
      <selection activeCell="A5" sqref="A5:B5"/>
    </sheetView>
  </sheetViews>
  <sheetFormatPr defaultColWidth="8.68359375" defaultRowHeight="14.4" x14ac:dyDescent="0.55000000000000004"/>
  <cols>
    <col min="1" max="1" width="7" customWidth="1"/>
    <col min="2" max="2" width="16" customWidth="1"/>
    <col min="3" max="3" width="32" customWidth="1"/>
    <col min="4" max="4" width="36" customWidth="1"/>
    <col min="5" max="6" width="17" customWidth="1"/>
  </cols>
  <sheetData>
    <row r="1" spans="1:6" ht="43.5" customHeight="1" x14ac:dyDescent="0.55000000000000004">
      <c r="A1" s="6" t="s">
        <v>93</v>
      </c>
      <c r="B1" s="6"/>
      <c r="C1" s="5" t="s">
        <v>0</v>
      </c>
      <c r="D1" s="5"/>
      <c r="E1" s="5"/>
      <c r="F1" s="5"/>
    </row>
    <row r="2" spans="1:6" ht="21.75" customHeight="1" x14ac:dyDescent="0.55000000000000004">
      <c r="A2" s="6"/>
      <c r="B2" s="6"/>
      <c r="C2" s="4" t="s">
        <v>535</v>
      </c>
      <c r="D2" s="4"/>
      <c r="E2" s="4"/>
      <c r="F2" s="4"/>
    </row>
    <row r="3" spans="1:6" ht="21.75" customHeight="1" x14ac:dyDescent="0.55000000000000004">
      <c r="A3" s="6"/>
      <c r="B3" s="6"/>
      <c r="C3" s="3" t="s">
        <v>536</v>
      </c>
      <c r="D3" s="3"/>
      <c r="E3" s="3"/>
      <c r="F3" s="3"/>
    </row>
    <row r="5" spans="1:6" ht="19.5" customHeight="1" x14ac:dyDescent="0.55000000000000004">
      <c r="A5" s="9" t="s">
        <v>399</v>
      </c>
      <c r="B5" s="9"/>
      <c r="C5" s="25" t="s">
        <v>511</v>
      </c>
      <c r="D5" s="13" t="s">
        <v>537</v>
      </c>
      <c r="E5" s="39" t="s">
        <v>525</v>
      </c>
      <c r="F5" s="39"/>
    </row>
    <row r="6" spans="1:6" ht="19.5" customHeight="1" x14ac:dyDescent="0.55000000000000004">
      <c r="A6" s="9" t="s">
        <v>538</v>
      </c>
      <c r="B6" s="9"/>
      <c r="C6" s="23" t="s">
        <v>539</v>
      </c>
      <c r="D6" s="13" t="s">
        <v>540</v>
      </c>
      <c r="E6" s="2">
        <v>46328</v>
      </c>
      <c r="F6" s="2"/>
    </row>
    <row r="8" spans="1:6" ht="18" customHeight="1" x14ac:dyDescent="0.55000000000000004">
      <c r="A8" s="47" t="s">
        <v>541</v>
      </c>
      <c r="B8" s="47"/>
      <c r="C8" s="47"/>
      <c r="D8" s="47"/>
      <c r="E8" s="47"/>
      <c r="F8" s="47"/>
    </row>
    <row r="9" spans="1:6" ht="30.75" customHeight="1" x14ac:dyDescent="0.55000000000000004">
      <c r="A9" s="19" t="s">
        <v>123</v>
      </c>
      <c r="B9" s="53" t="s">
        <v>379</v>
      </c>
      <c r="C9" s="53"/>
      <c r="D9" s="53"/>
      <c r="E9" s="19" t="s">
        <v>442</v>
      </c>
      <c r="F9" s="19" t="s">
        <v>542</v>
      </c>
    </row>
    <row r="10" spans="1:6" ht="24" customHeight="1" x14ac:dyDescent="0.55000000000000004">
      <c r="A10" s="20">
        <v>1</v>
      </c>
      <c r="B10" s="8" t="s">
        <v>543</v>
      </c>
      <c r="C10" s="8"/>
      <c r="D10" s="8"/>
      <c r="E10" s="14" t="s">
        <v>544</v>
      </c>
      <c r="F10" s="25" t="s">
        <v>545</v>
      </c>
    </row>
    <row r="11" spans="1:6" ht="30.75" customHeight="1" x14ac:dyDescent="0.55000000000000004">
      <c r="A11" s="20">
        <v>2</v>
      </c>
      <c r="B11" s="8" t="s">
        <v>546</v>
      </c>
      <c r="C11" s="8"/>
      <c r="D11" s="8"/>
      <c r="E11" s="14" t="s">
        <v>544</v>
      </c>
      <c r="F11" s="25" t="s">
        <v>547</v>
      </c>
    </row>
    <row r="12" spans="1:6" ht="24" customHeight="1" x14ac:dyDescent="0.55000000000000004">
      <c r="A12" s="20">
        <v>3</v>
      </c>
      <c r="B12" s="8" t="s">
        <v>548</v>
      </c>
      <c r="C12" s="8"/>
      <c r="D12" s="8"/>
      <c r="E12" s="14" t="s">
        <v>544</v>
      </c>
      <c r="F12" s="25" t="s">
        <v>281</v>
      </c>
    </row>
    <row r="13" spans="1:6" ht="24" customHeight="1" x14ac:dyDescent="0.55000000000000004">
      <c r="A13" s="20">
        <v>4</v>
      </c>
      <c r="B13" s="8" t="s">
        <v>549</v>
      </c>
      <c r="C13" s="8"/>
      <c r="D13" s="8"/>
      <c r="E13" s="14" t="s">
        <v>118</v>
      </c>
      <c r="F13" s="25"/>
    </row>
    <row r="14" spans="1:6" ht="24" customHeight="1" x14ac:dyDescent="0.55000000000000004">
      <c r="A14" s="40" t="s">
        <v>550</v>
      </c>
      <c r="B14" s="40"/>
      <c r="C14" s="40"/>
      <c r="D14" s="40"/>
      <c r="E14" s="57" t="str">
        <f>IF(COUNTIF(E10:E13,"Done")=ROWS(E10:E13),"CLOSED &amp; LOCKED",IF(COUNTIF(E10:E12,"Done")=3,"READY - awaiting Finance Head","BLOCKED - open items remain"))</f>
        <v>READY - awaiting Finance Head</v>
      </c>
      <c r="F14" s="57"/>
    </row>
    <row r="16" spans="1:6" ht="18" customHeight="1" x14ac:dyDescent="0.55000000000000004">
      <c r="A16" s="47" t="s">
        <v>551</v>
      </c>
      <c r="B16" s="47"/>
      <c r="C16" s="47"/>
      <c r="D16" s="47"/>
      <c r="E16" s="47"/>
      <c r="F16" s="47"/>
    </row>
    <row r="17" spans="1:6" ht="33.75" customHeight="1" x14ac:dyDescent="0.55000000000000004">
      <c r="A17" s="19" t="s">
        <v>123</v>
      </c>
      <c r="B17" s="19" t="s">
        <v>552</v>
      </c>
      <c r="C17" s="19" t="s">
        <v>553</v>
      </c>
      <c r="D17" s="19" t="s">
        <v>554</v>
      </c>
      <c r="E17" s="19" t="s">
        <v>555</v>
      </c>
      <c r="F17" s="19" t="s">
        <v>556</v>
      </c>
    </row>
    <row r="18" spans="1:6" ht="27.75" customHeight="1" x14ac:dyDescent="0.55000000000000004">
      <c r="A18" s="20">
        <v>1</v>
      </c>
      <c r="B18" s="24">
        <v>46346</v>
      </c>
      <c r="C18" s="25" t="s">
        <v>557</v>
      </c>
      <c r="D18" s="25" t="s">
        <v>558</v>
      </c>
      <c r="E18" s="24">
        <v>46347</v>
      </c>
      <c r="F18" s="25" t="s">
        <v>559</v>
      </c>
    </row>
    <row r="19" spans="1:6" ht="27.75" customHeight="1" x14ac:dyDescent="0.55000000000000004">
      <c r="A19" s="20">
        <v>2</v>
      </c>
      <c r="B19" s="15"/>
      <c r="C19" s="15"/>
      <c r="D19" s="15"/>
      <c r="E19" s="15"/>
      <c r="F19" s="15"/>
    </row>
    <row r="20" spans="1:6" ht="27.75" customHeight="1" x14ac:dyDescent="0.55000000000000004">
      <c r="A20" s="20">
        <v>3</v>
      </c>
      <c r="B20" s="15"/>
      <c r="C20" s="15"/>
      <c r="D20" s="15"/>
      <c r="E20" s="15"/>
      <c r="F20" s="15"/>
    </row>
    <row r="22" spans="1:6" ht="30.75" customHeight="1" x14ac:dyDescent="0.55000000000000004">
      <c r="A22" s="43" t="s">
        <v>560</v>
      </c>
      <c r="B22" s="43"/>
      <c r="C22" s="43"/>
      <c r="D22" s="43"/>
      <c r="E22" s="43"/>
      <c r="F22" s="43"/>
    </row>
    <row r="23" spans="1:6" ht="19.5" customHeight="1" x14ac:dyDescent="0.55000000000000004">
      <c r="A23" s="8" t="s">
        <v>144</v>
      </c>
      <c r="B23" s="8"/>
      <c r="C23" s="8"/>
      <c r="D23" s="8"/>
      <c r="E23" s="8"/>
      <c r="F23" s="8"/>
    </row>
    <row r="24" spans="1:6" ht="19.5" customHeight="1" x14ac:dyDescent="0.55000000000000004">
      <c r="A24" s="8" t="s">
        <v>145</v>
      </c>
      <c r="B24" s="8"/>
      <c r="C24" s="8"/>
      <c r="D24" s="8"/>
      <c r="E24" s="8"/>
      <c r="F24" s="8"/>
    </row>
    <row r="25" spans="1:6" ht="43.5" customHeight="1" x14ac:dyDescent="0.55000000000000004">
      <c r="A25" s="44" t="s">
        <v>146</v>
      </c>
      <c r="B25" s="44"/>
      <c r="C25" s="44"/>
      <c r="D25" s="44"/>
      <c r="E25" s="44"/>
      <c r="F25" s="44"/>
    </row>
    <row r="26" spans="1:6" ht="19.5" customHeight="1" x14ac:dyDescent="0.55000000000000004">
      <c r="A26" s="8" t="s">
        <v>147</v>
      </c>
      <c r="B26" s="8"/>
      <c r="C26" s="8"/>
      <c r="D26" s="8"/>
      <c r="E26" s="8"/>
      <c r="F26" s="8"/>
    </row>
    <row r="28" spans="1:6" ht="18" customHeight="1" x14ac:dyDescent="0.55000000000000004">
      <c r="A28" s="9" t="s">
        <v>148</v>
      </c>
      <c r="B28" s="9"/>
      <c r="C28" s="9"/>
      <c r="D28" s="9"/>
      <c r="E28" s="9"/>
      <c r="F28" s="9"/>
    </row>
    <row r="29" spans="1:6" ht="30.75" customHeight="1" x14ac:dyDescent="0.55000000000000004">
      <c r="A29" s="7" t="s">
        <v>561</v>
      </c>
      <c r="B29" s="7"/>
      <c r="C29" s="7"/>
      <c r="D29" s="7"/>
      <c r="E29" s="7"/>
      <c r="F29" s="7"/>
    </row>
    <row r="30" spans="1:6" ht="30.75" customHeight="1" x14ac:dyDescent="0.55000000000000004">
      <c r="A30" s="7" t="s">
        <v>562</v>
      </c>
      <c r="B30" s="7"/>
      <c r="C30" s="7"/>
      <c r="D30" s="7"/>
      <c r="E30" s="7"/>
      <c r="F30" s="7"/>
    </row>
  </sheetData>
  <mergeCells count="25">
    <mergeCell ref="A26:F26"/>
    <mergeCell ref="A28:F28"/>
    <mergeCell ref="A29:F29"/>
    <mergeCell ref="A30:F30"/>
    <mergeCell ref="A16:F16"/>
    <mergeCell ref="A22:F22"/>
    <mergeCell ref="A23:F23"/>
    <mergeCell ref="A24:F24"/>
    <mergeCell ref="A25:F25"/>
    <mergeCell ref="B11:D11"/>
    <mergeCell ref="B12:D12"/>
    <mergeCell ref="B13:D13"/>
    <mergeCell ref="A14:D14"/>
    <mergeCell ref="E14:F14"/>
    <mergeCell ref="A6:B6"/>
    <mergeCell ref="E6:F6"/>
    <mergeCell ref="A8:F8"/>
    <mergeCell ref="B9:D9"/>
    <mergeCell ref="B10:D10"/>
    <mergeCell ref="A1:B3"/>
    <mergeCell ref="C1:F1"/>
    <mergeCell ref="C2:F2"/>
    <mergeCell ref="C3:F3"/>
    <mergeCell ref="A5:B5"/>
    <mergeCell ref="E5:F5"/>
  </mergeCells>
  <dataValidations count="1">
    <dataValidation type="list" allowBlank="1" sqref="E10:E13" xr:uid="{00000000-0002-0000-0D00-000000000000}">
      <formula1>"Done,Pending"</formula1>
      <formula2>0</formula2>
    </dataValidation>
  </dataValidations>
  <pageMargins left="0.5" right="0.5" top="1" bottom="1" header="0.511811023622047" footer="0.5"/>
  <pageSetup paperSize="9" fitToHeight="0" orientation="portrait" horizontalDpi="300" verticalDpi="300"/>
  <headerFooter>
    <oddFooter>&amp;LFA-13 | Crest Point Consulting Group&amp;CPage &amp;P of &amp;N&amp;RStrictly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pageSetUpPr fitToPage="1"/>
  </sheetPr>
  <dimension ref="A1:I45"/>
  <sheetViews>
    <sheetView showGridLines="0" zoomScaleNormal="100" workbookViewId="0">
      <pane ySplit="6" topLeftCell="A7" activePane="bottomLeft" state="frozen"/>
      <selection pane="bottomLeft" sqref="A1:B3"/>
    </sheetView>
  </sheetViews>
  <sheetFormatPr defaultColWidth="8.68359375" defaultRowHeight="14.4" x14ac:dyDescent="0.55000000000000004"/>
  <cols>
    <col min="1" max="1" width="11" customWidth="1"/>
    <col min="2" max="2" width="36" customWidth="1"/>
    <col min="3" max="3" width="20" customWidth="1"/>
    <col min="4" max="4" width="26" customWidth="1"/>
    <col min="5" max="5" width="12" customWidth="1"/>
    <col min="6" max="6" width="16" customWidth="1"/>
    <col min="7" max="7" width="18" customWidth="1"/>
    <col min="8" max="8" width="10" customWidth="1"/>
    <col min="9" max="9" width="34" customWidth="1"/>
  </cols>
  <sheetData>
    <row r="1" spans="1:9" ht="30.75" customHeight="1" x14ac:dyDescent="0.55000000000000004">
      <c r="A1" s="6" t="s">
        <v>93</v>
      </c>
      <c r="B1" s="6"/>
      <c r="C1" s="5" t="s">
        <v>0</v>
      </c>
      <c r="D1" s="5"/>
      <c r="E1" s="5"/>
      <c r="F1" s="5"/>
      <c r="G1" s="5"/>
      <c r="H1" s="5"/>
      <c r="I1" s="5"/>
    </row>
    <row r="2" spans="1:9" ht="21.75" customHeight="1" x14ac:dyDescent="0.55000000000000004">
      <c r="A2" s="6"/>
      <c r="B2" s="6"/>
      <c r="C2" s="4" t="s">
        <v>563</v>
      </c>
      <c r="D2" s="4"/>
      <c r="E2" s="4"/>
      <c r="F2" s="4"/>
      <c r="G2" s="4"/>
      <c r="H2" s="4"/>
      <c r="I2" s="4"/>
    </row>
    <row r="3" spans="1:9" ht="21.75" customHeight="1" x14ac:dyDescent="0.55000000000000004">
      <c r="A3" s="6"/>
      <c r="B3" s="6"/>
      <c r="C3" s="3" t="s">
        <v>564</v>
      </c>
      <c r="D3" s="3"/>
      <c r="E3" s="3"/>
      <c r="F3" s="3"/>
      <c r="G3" s="3"/>
      <c r="H3" s="3"/>
      <c r="I3" s="3"/>
    </row>
    <row r="5" spans="1:9" ht="30.75" customHeight="1" x14ac:dyDescent="0.55000000000000004">
      <c r="A5" s="58" t="s">
        <v>565</v>
      </c>
      <c r="B5" s="58"/>
      <c r="C5" s="58"/>
      <c r="D5" s="58"/>
      <c r="E5" s="58"/>
      <c r="F5" s="58"/>
      <c r="G5" s="58"/>
      <c r="H5" s="58"/>
      <c r="I5" s="58"/>
    </row>
    <row r="6" spans="1:9" ht="55.5" customHeight="1" x14ac:dyDescent="0.55000000000000004">
      <c r="A6" s="19" t="s">
        <v>124</v>
      </c>
      <c r="B6" s="19" t="s">
        <v>125</v>
      </c>
      <c r="C6" s="19" t="s">
        <v>566</v>
      </c>
      <c r="D6" s="19" t="s">
        <v>567</v>
      </c>
      <c r="E6" s="19" t="s">
        <v>568</v>
      </c>
      <c r="F6" s="19" t="s">
        <v>569</v>
      </c>
      <c r="G6" s="19" t="s">
        <v>570</v>
      </c>
      <c r="H6" s="19" t="s">
        <v>115</v>
      </c>
      <c r="I6" s="19" t="s">
        <v>571</v>
      </c>
    </row>
    <row r="7" spans="1:9" ht="30.75" customHeight="1" x14ac:dyDescent="0.55000000000000004">
      <c r="A7" s="25">
        <v>1110</v>
      </c>
      <c r="B7" s="25" t="s">
        <v>572</v>
      </c>
      <c r="C7" s="25" t="s">
        <v>573</v>
      </c>
      <c r="D7" s="25" t="s">
        <v>574</v>
      </c>
      <c r="E7" s="25" t="s">
        <v>374</v>
      </c>
      <c r="F7" s="25"/>
      <c r="G7" s="25" t="s">
        <v>575</v>
      </c>
      <c r="H7" s="25" t="s">
        <v>576</v>
      </c>
      <c r="I7" s="23" t="str">
        <f t="shared" ref="I7:I39" si="0">IF(A7="","",IF(AND(OR(C7="Cost of Sales",C7="Operating Expenses"),F7=""),"ERROR: Direct/Indirect required",IF(AND(NOT(OR(C7="Cost of Sales",C7="Operating Expenses")),F7&lt;&gt;""),"ERROR: only for expense accounts","OK")))</f>
        <v>OK</v>
      </c>
    </row>
    <row r="8" spans="1:9" ht="30.75" customHeight="1" x14ac:dyDescent="0.55000000000000004">
      <c r="A8" s="25">
        <v>1120</v>
      </c>
      <c r="B8" s="25" t="s">
        <v>169</v>
      </c>
      <c r="C8" s="25" t="s">
        <v>573</v>
      </c>
      <c r="D8" s="25" t="s">
        <v>577</v>
      </c>
      <c r="E8" s="25" t="s">
        <v>374</v>
      </c>
      <c r="F8" s="25"/>
      <c r="G8" s="25" t="s">
        <v>575</v>
      </c>
      <c r="H8" s="25" t="s">
        <v>576</v>
      </c>
      <c r="I8" s="23" t="str">
        <f t="shared" si="0"/>
        <v>OK</v>
      </c>
    </row>
    <row r="9" spans="1:9" ht="30.75" customHeight="1" x14ac:dyDescent="0.55000000000000004">
      <c r="A9" s="25">
        <v>1130</v>
      </c>
      <c r="B9" s="25" t="s">
        <v>131</v>
      </c>
      <c r="C9" s="25" t="s">
        <v>573</v>
      </c>
      <c r="D9" s="25" t="s">
        <v>577</v>
      </c>
      <c r="E9" s="25" t="s">
        <v>374</v>
      </c>
      <c r="F9" s="25"/>
      <c r="G9" s="25" t="s">
        <v>575</v>
      </c>
      <c r="H9" s="25" t="s">
        <v>576</v>
      </c>
      <c r="I9" s="23" t="str">
        <f t="shared" si="0"/>
        <v>OK</v>
      </c>
    </row>
    <row r="10" spans="1:9" ht="30.75" customHeight="1" x14ac:dyDescent="0.55000000000000004">
      <c r="A10" s="25">
        <v>1210</v>
      </c>
      <c r="B10" s="25" t="s">
        <v>578</v>
      </c>
      <c r="C10" s="25" t="s">
        <v>573</v>
      </c>
      <c r="D10" s="25" t="s">
        <v>579</v>
      </c>
      <c r="E10" s="25" t="s">
        <v>374</v>
      </c>
      <c r="F10" s="25"/>
      <c r="G10" s="25" t="s">
        <v>575</v>
      </c>
      <c r="H10" s="25" t="s">
        <v>576</v>
      </c>
      <c r="I10" s="23" t="str">
        <f t="shared" si="0"/>
        <v>OK</v>
      </c>
    </row>
    <row r="11" spans="1:9" ht="30.75" customHeight="1" x14ac:dyDescent="0.55000000000000004">
      <c r="A11" s="25">
        <v>1250</v>
      </c>
      <c r="B11" s="25" t="s">
        <v>580</v>
      </c>
      <c r="C11" s="25" t="s">
        <v>573</v>
      </c>
      <c r="D11" s="25" t="s">
        <v>579</v>
      </c>
      <c r="E11" s="25" t="s">
        <v>374</v>
      </c>
      <c r="F11" s="25"/>
      <c r="G11" s="25" t="s">
        <v>575</v>
      </c>
      <c r="H11" s="25" t="s">
        <v>576</v>
      </c>
      <c r="I11" s="23" t="str">
        <f t="shared" si="0"/>
        <v>OK</v>
      </c>
    </row>
    <row r="12" spans="1:9" ht="30.75" customHeight="1" x14ac:dyDescent="0.55000000000000004">
      <c r="A12" s="25">
        <v>1310</v>
      </c>
      <c r="B12" s="25" t="s">
        <v>581</v>
      </c>
      <c r="C12" s="25" t="s">
        <v>573</v>
      </c>
      <c r="D12" s="25" t="s">
        <v>582</v>
      </c>
      <c r="E12" s="25" t="s">
        <v>374</v>
      </c>
      <c r="F12" s="25"/>
      <c r="G12" s="25" t="s">
        <v>575</v>
      </c>
      <c r="H12" s="25" t="s">
        <v>576</v>
      </c>
      <c r="I12" s="23" t="str">
        <f t="shared" si="0"/>
        <v>OK</v>
      </c>
    </row>
    <row r="13" spans="1:9" ht="30.75" customHeight="1" x14ac:dyDescent="0.55000000000000004">
      <c r="A13" s="25">
        <v>1410</v>
      </c>
      <c r="B13" s="25" t="s">
        <v>583</v>
      </c>
      <c r="C13" s="25" t="s">
        <v>573</v>
      </c>
      <c r="D13" s="25" t="s">
        <v>584</v>
      </c>
      <c r="E13" s="25" t="s">
        <v>374</v>
      </c>
      <c r="F13" s="25"/>
      <c r="G13" s="25" t="s">
        <v>575</v>
      </c>
      <c r="H13" s="25" t="s">
        <v>576</v>
      </c>
      <c r="I13" s="23" t="str">
        <f t="shared" si="0"/>
        <v>OK</v>
      </c>
    </row>
    <row r="14" spans="1:9" ht="30.75" customHeight="1" x14ac:dyDescent="0.55000000000000004">
      <c r="A14" s="25">
        <v>1530</v>
      </c>
      <c r="B14" s="25" t="s">
        <v>585</v>
      </c>
      <c r="C14" s="25" t="s">
        <v>573</v>
      </c>
      <c r="D14" s="25" t="s">
        <v>586</v>
      </c>
      <c r="E14" s="25" t="s">
        <v>374</v>
      </c>
      <c r="F14" s="25"/>
      <c r="G14" s="25" t="s">
        <v>575</v>
      </c>
      <c r="H14" s="25" t="s">
        <v>576</v>
      </c>
      <c r="I14" s="23" t="str">
        <f t="shared" si="0"/>
        <v>OK</v>
      </c>
    </row>
    <row r="15" spans="1:9" ht="30.75" customHeight="1" x14ac:dyDescent="0.55000000000000004">
      <c r="A15" s="25">
        <v>1590</v>
      </c>
      <c r="B15" s="25" t="s">
        <v>186</v>
      </c>
      <c r="C15" s="25" t="s">
        <v>573</v>
      </c>
      <c r="D15" s="25" t="s">
        <v>586</v>
      </c>
      <c r="E15" s="25" t="s">
        <v>377</v>
      </c>
      <c r="F15" s="25"/>
      <c r="G15" s="25" t="s">
        <v>575</v>
      </c>
      <c r="H15" s="25" t="s">
        <v>576</v>
      </c>
      <c r="I15" s="23" t="str">
        <f t="shared" si="0"/>
        <v>OK</v>
      </c>
    </row>
    <row r="16" spans="1:9" ht="30.75" customHeight="1" x14ac:dyDescent="0.55000000000000004">
      <c r="A16" s="25">
        <v>2110</v>
      </c>
      <c r="B16" s="25" t="s">
        <v>129</v>
      </c>
      <c r="C16" s="25" t="s">
        <v>587</v>
      </c>
      <c r="D16" s="25" t="s">
        <v>588</v>
      </c>
      <c r="E16" s="25" t="s">
        <v>377</v>
      </c>
      <c r="F16" s="25"/>
      <c r="G16" s="25" t="s">
        <v>575</v>
      </c>
      <c r="H16" s="25" t="s">
        <v>576</v>
      </c>
      <c r="I16" s="23" t="str">
        <f t="shared" si="0"/>
        <v>OK</v>
      </c>
    </row>
    <row r="17" spans="1:9" ht="30.75" customHeight="1" x14ac:dyDescent="0.55000000000000004">
      <c r="A17" s="25">
        <v>2120</v>
      </c>
      <c r="B17" s="25" t="s">
        <v>589</v>
      </c>
      <c r="C17" s="25" t="s">
        <v>587</v>
      </c>
      <c r="D17" s="25" t="s">
        <v>588</v>
      </c>
      <c r="E17" s="25" t="s">
        <v>377</v>
      </c>
      <c r="F17" s="25"/>
      <c r="G17" s="25" t="s">
        <v>575</v>
      </c>
      <c r="H17" s="25" t="s">
        <v>576</v>
      </c>
      <c r="I17" s="23" t="str">
        <f t="shared" si="0"/>
        <v>OK</v>
      </c>
    </row>
    <row r="18" spans="1:9" ht="30.75" customHeight="1" x14ac:dyDescent="0.55000000000000004">
      <c r="A18" s="25">
        <v>2130</v>
      </c>
      <c r="B18" s="25" t="s">
        <v>590</v>
      </c>
      <c r="C18" s="25" t="s">
        <v>587</v>
      </c>
      <c r="D18" s="25" t="s">
        <v>588</v>
      </c>
      <c r="E18" s="25" t="s">
        <v>377</v>
      </c>
      <c r="F18" s="25"/>
      <c r="G18" s="25" t="s">
        <v>575</v>
      </c>
      <c r="H18" s="25" t="s">
        <v>576</v>
      </c>
      <c r="I18" s="23" t="str">
        <f t="shared" si="0"/>
        <v>OK</v>
      </c>
    </row>
    <row r="19" spans="1:9" ht="30.75" customHeight="1" x14ac:dyDescent="0.55000000000000004">
      <c r="A19" s="25">
        <v>2210</v>
      </c>
      <c r="B19" s="25" t="s">
        <v>591</v>
      </c>
      <c r="C19" s="25" t="s">
        <v>587</v>
      </c>
      <c r="D19" s="25" t="s">
        <v>588</v>
      </c>
      <c r="E19" s="25" t="s">
        <v>377</v>
      </c>
      <c r="F19" s="25"/>
      <c r="G19" s="25" t="s">
        <v>575</v>
      </c>
      <c r="H19" s="25" t="s">
        <v>576</v>
      </c>
      <c r="I19" s="23" t="str">
        <f t="shared" si="0"/>
        <v>OK</v>
      </c>
    </row>
    <row r="20" spans="1:9" ht="30.75" customHeight="1" x14ac:dyDescent="0.55000000000000004">
      <c r="A20" s="25">
        <v>2220</v>
      </c>
      <c r="B20" s="25" t="s">
        <v>592</v>
      </c>
      <c r="C20" s="25" t="s">
        <v>587</v>
      </c>
      <c r="D20" s="25" t="s">
        <v>588</v>
      </c>
      <c r="E20" s="25" t="s">
        <v>377</v>
      </c>
      <c r="F20" s="25"/>
      <c r="G20" s="25" t="s">
        <v>575</v>
      </c>
      <c r="H20" s="25" t="s">
        <v>576</v>
      </c>
      <c r="I20" s="23" t="str">
        <f t="shared" si="0"/>
        <v>OK</v>
      </c>
    </row>
    <row r="21" spans="1:9" ht="30.75" customHeight="1" x14ac:dyDescent="0.55000000000000004">
      <c r="A21" s="25">
        <v>4100</v>
      </c>
      <c r="B21" s="25" t="s">
        <v>593</v>
      </c>
      <c r="C21" s="25" t="s">
        <v>594</v>
      </c>
      <c r="D21" s="25" t="s">
        <v>595</v>
      </c>
      <c r="E21" s="25" t="s">
        <v>377</v>
      </c>
      <c r="F21" s="25"/>
      <c r="G21" s="25" t="s">
        <v>575</v>
      </c>
      <c r="H21" s="25" t="s">
        <v>576</v>
      </c>
      <c r="I21" s="23" t="str">
        <f t="shared" si="0"/>
        <v>OK</v>
      </c>
    </row>
    <row r="22" spans="1:9" ht="30.75" customHeight="1" x14ac:dyDescent="0.55000000000000004">
      <c r="A22" s="25">
        <v>4200</v>
      </c>
      <c r="B22" s="25" t="s">
        <v>596</v>
      </c>
      <c r="C22" s="25" t="s">
        <v>594</v>
      </c>
      <c r="D22" s="25" t="s">
        <v>597</v>
      </c>
      <c r="E22" s="25" t="s">
        <v>377</v>
      </c>
      <c r="F22" s="25"/>
      <c r="G22" s="25" t="s">
        <v>575</v>
      </c>
      <c r="H22" s="25" t="s">
        <v>576</v>
      </c>
      <c r="I22" s="23" t="str">
        <f t="shared" si="0"/>
        <v>OK</v>
      </c>
    </row>
    <row r="23" spans="1:9" ht="30.75" customHeight="1" x14ac:dyDescent="0.55000000000000004">
      <c r="A23" s="25">
        <v>4300</v>
      </c>
      <c r="B23" s="25" t="s">
        <v>598</v>
      </c>
      <c r="C23" s="25" t="s">
        <v>594</v>
      </c>
      <c r="D23" s="25" t="s">
        <v>597</v>
      </c>
      <c r="E23" s="25" t="s">
        <v>377</v>
      </c>
      <c r="F23" s="25"/>
      <c r="G23" s="25" t="s">
        <v>575</v>
      </c>
      <c r="H23" s="25" t="s">
        <v>576</v>
      </c>
      <c r="I23" s="23" t="str">
        <f t="shared" si="0"/>
        <v>OK</v>
      </c>
    </row>
    <row r="24" spans="1:9" ht="30.75" customHeight="1" x14ac:dyDescent="0.55000000000000004">
      <c r="A24" s="25">
        <v>5100</v>
      </c>
      <c r="B24" s="25" t="s">
        <v>599</v>
      </c>
      <c r="C24" s="25" t="s">
        <v>600</v>
      </c>
      <c r="D24" s="25" t="s">
        <v>601</v>
      </c>
      <c r="E24" s="25" t="s">
        <v>374</v>
      </c>
      <c r="F24" s="25" t="s">
        <v>602</v>
      </c>
      <c r="G24" s="25" t="s">
        <v>575</v>
      </c>
      <c r="H24" s="25" t="s">
        <v>576</v>
      </c>
      <c r="I24" s="23" t="str">
        <f t="shared" si="0"/>
        <v>OK</v>
      </c>
    </row>
    <row r="25" spans="1:9" ht="30.75" customHeight="1" x14ac:dyDescent="0.55000000000000004">
      <c r="A25" s="25">
        <v>5200</v>
      </c>
      <c r="B25" s="25" t="s">
        <v>603</v>
      </c>
      <c r="C25" s="25" t="s">
        <v>600</v>
      </c>
      <c r="D25" s="25" t="s">
        <v>601</v>
      </c>
      <c r="E25" s="25" t="s">
        <v>374</v>
      </c>
      <c r="F25" s="25" t="s">
        <v>602</v>
      </c>
      <c r="G25" s="25" t="s">
        <v>575</v>
      </c>
      <c r="H25" s="25" t="s">
        <v>576</v>
      </c>
      <c r="I25" s="23" t="str">
        <f t="shared" si="0"/>
        <v>OK</v>
      </c>
    </row>
    <row r="26" spans="1:9" ht="30.75" customHeight="1" x14ac:dyDescent="0.55000000000000004">
      <c r="A26" s="25">
        <v>6100</v>
      </c>
      <c r="B26" s="25" t="s">
        <v>604</v>
      </c>
      <c r="C26" s="25" t="s">
        <v>605</v>
      </c>
      <c r="D26" s="25" t="s">
        <v>606</v>
      </c>
      <c r="E26" s="25" t="s">
        <v>374</v>
      </c>
      <c r="F26" s="25" t="s">
        <v>607</v>
      </c>
      <c r="G26" s="25" t="s">
        <v>575</v>
      </c>
      <c r="H26" s="25" t="s">
        <v>576</v>
      </c>
      <c r="I26" s="23" t="str">
        <f t="shared" si="0"/>
        <v>OK</v>
      </c>
    </row>
    <row r="27" spans="1:9" ht="30.75" customHeight="1" x14ac:dyDescent="0.55000000000000004">
      <c r="A27" s="25">
        <v>6200</v>
      </c>
      <c r="B27" s="25" t="s">
        <v>184</v>
      </c>
      <c r="C27" s="25" t="s">
        <v>605</v>
      </c>
      <c r="D27" s="25" t="s">
        <v>608</v>
      </c>
      <c r="E27" s="25" t="s">
        <v>374</v>
      </c>
      <c r="F27" s="25" t="s">
        <v>607</v>
      </c>
      <c r="G27" s="25" t="s">
        <v>575</v>
      </c>
      <c r="H27" s="25" t="s">
        <v>576</v>
      </c>
      <c r="I27" s="23" t="str">
        <f t="shared" si="0"/>
        <v>OK</v>
      </c>
    </row>
    <row r="28" spans="1:9" ht="30.75" customHeight="1" x14ac:dyDescent="0.55000000000000004">
      <c r="A28" s="25">
        <v>6500</v>
      </c>
      <c r="B28" s="25" t="s">
        <v>609</v>
      </c>
      <c r="C28" s="25" t="s">
        <v>605</v>
      </c>
      <c r="D28" s="25" t="s">
        <v>610</v>
      </c>
      <c r="E28" s="25" t="s">
        <v>374</v>
      </c>
      <c r="F28" s="25" t="s">
        <v>607</v>
      </c>
      <c r="G28" s="25" t="s">
        <v>575</v>
      </c>
      <c r="H28" s="25" t="s">
        <v>576</v>
      </c>
      <c r="I28" s="23" t="str">
        <f t="shared" si="0"/>
        <v>OK</v>
      </c>
    </row>
    <row r="29" spans="1:9" ht="30.75" customHeight="1" x14ac:dyDescent="0.55000000000000004">
      <c r="A29" s="25">
        <v>6510</v>
      </c>
      <c r="B29" s="25" t="s">
        <v>611</v>
      </c>
      <c r="C29" s="25" t="s">
        <v>605</v>
      </c>
      <c r="D29" s="25" t="s">
        <v>610</v>
      </c>
      <c r="E29" s="25" t="s">
        <v>374</v>
      </c>
      <c r="F29" s="25"/>
      <c r="G29" s="25" t="s">
        <v>575</v>
      </c>
      <c r="H29" s="25" t="s">
        <v>576</v>
      </c>
      <c r="I29" s="23" t="str">
        <f t="shared" si="0"/>
        <v>ERROR: Direct/Indirect required</v>
      </c>
    </row>
    <row r="30" spans="1:9" ht="19.5" customHeight="1" x14ac:dyDescent="0.55000000000000004">
      <c r="A30" s="15"/>
      <c r="B30" s="15"/>
      <c r="C30" s="15"/>
      <c r="D30" s="15"/>
      <c r="E30" s="15"/>
      <c r="F30" s="15"/>
      <c r="G30" s="15"/>
      <c r="H30" s="15"/>
      <c r="I30" s="23" t="str">
        <f t="shared" si="0"/>
        <v/>
      </c>
    </row>
    <row r="31" spans="1:9" ht="19.5" customHeight="1" x14ac:dyDescent="0.55000000000000004">
      <c r="A31" s="15"/>
      <c r="B31" s="15"/>
      <c r="C31" s="15"/>
      <c r="D31" s="15"/>
      <c r="E31" s="15"/>
      <c r="F31" s="15"/>
      <c r="G31" s="15"/>
      <c r="H31" s="15"/>
      <c r="I31" s="23" t="str">
        <f t="shared" si="0"/>
        <v/>
      </c>
    </row>
    <row r="32" spans="1:9" ht="19.5" customHeight="1" x14ac:dyDescent="0.55000000000000004">
      <c r="A32" s="15"/>
      <c r="B32" s="15"/>
      <c r="C32" s="15"/>
      <c r="D32" s="15"/>
      <c r="E32" s="15"/>
      <c r="F32" s="15"/>
      <c r="G32" s="15"/>
      <c r="H32" s="15"/>
      <c r="I32" s="23" t="str">
        <f t="shared" si="0"/>
        <v/>
      </c>
    </row>
    <row r="33" spans="1:9" ht="19.5" customHeight="1" x14ac:dyDescent="0.55000000000000004">
      <c r="A33" s="15"/>
      <c r="B33" s="15"/>
      <c r="C33" s="15"/>
      <c r="D33" s="15"/>
      <c r="E33" s="15"/>
      <c r="F33" s="15"/>
      <c r="G33" s="15"/>
      <c r="H33" s="15"/>
      <c r="I33" s="23" t="str">
        <f t="shared" si="0"/>
        <v/>
      </c>
    </row>
    <row r="34" spans="1:9" ht="19.5" customHeight="1" x14ac:dyDescent="0.55000000000000004">
      <c r="A34" s="15"/>
      <c r="B34" s="15"/>
      <c r="C34" s="15"/>
      <c r="D34" s="15"/>
      <c r="E34" s="15"/>
      <c r="F34" s="15"/>
      <c r="G34" s="15"/>
      <c r="H34" s="15"/>
      <c r="I34" s="23" t="str">
        <f t="shared" si="0"/>
        <v/>
      </c>
    </row>
    <row r="35" spans="1:9" ht="19.5" customHeight="1" x14ac:dyDescent="0.55000000000000004">
      <c r="A35" s="15"/>
      <c r="B35" s="15"/>
      <c r="C35" s="15"/>
      <c r="D35" s="15"/>
      <c r="E35" s="15"/>
      <c r="F35" s="15"/>
      <c r="G35" s="15"/>
      <c r="H35" s="15"/>
      <c r="I35" s="23" t="str">
        <f t="shared" si="0"/>
        <v/>
      </c>
    </row>
    <row r="36" spans="1:9" ht="19.5" customHeight="1" x14ac:dyDescent="0.55000000000000004">
      <c r="A36" s="15"/>
      <c r="B36" s="15"/>
      <c r="C36" s="15"/>
      <c r="D36" s="15"/>
      <c r="E36" s="15"/>
      <c r="F36" s="15"/>
      <c r="G36" s="15"/>
      <c r="H36" s="15"/>
      <c r="I36" s="23" t="str">
        <f t="shared" si="0"/>
        <v/>
      </c>
    </row>
    <row r="37" spans="1:9" ht="19.5" customHeight="1" x14ac:dyDescent="0.55000000000000004">
      <c r="A37" s="15"/>
      <c r="B37" s="15"/>
      <c r="C37" s="15"/>
      <c r="D37" s="15"/>
      <c r="E37" s="15"/>
      <c r="F37" s="15"/>
      <c r="G37" s="15"/>
      <c r="H37" s="15"/>
      <c r="I37" s="23" t="str">
        <f t="shared" si="0"/>
        <v/>
      </c>
    </row>
    <row r="38" spans="1:9" ht="19.5" customHeight="1" x14ac:dyDescent="0.55000000000000004">
      <c r="A38" s="15"/>
      <c r="B38" s="15"/>
      <c r="C38" s="15"/>
      <c r="D38" s="15"/>
      <c r="E38" s="15"/>
      <c r="F38" s="15"/>
      <c r="G38" s="15"/>
      <c r="H38" s="15"/>
      <c r="I38" s="23" t="str">
        <f t="shared" si="0"/>
        <v/>
      </c>
    </row>
    <row r="39" spans="1:9" ht="19.5" customHeight="1" x14ac:dyDescent="0.55000000000000004">
      <c r="A39" s="15"/>
      <c r="B39" s="15"/>
      <c r="C39" s="15"/>
      <c r="D39" s="15"/>
      <c r="E39" s="15"/>
      <c r="F39" s="15"/>
      <c r="G39" s="15"/>
      <c r="H39" s="15"/>
      <c r="I39" s="23" t="str">
        <f t="shared" si="0"/>
        <v/>
      </c>
    </row>
    <row r="41" spans="1:9" ht="18" customHeight="1" x14ac:dyDescent="0.55000000000000004">
      <c r="A41" s="9" t="s">
        <v>148</v>
      </c>
      <c r="B41" s="9"/>
      <c r="C41" s="9"/>
      <c r="D41" s="9"/>
      <c r="E41" s="9"/>
      <c r="F41" s="9"/>
      <c r="G41" s="9"/>
      <c r="H41" s="9"/>
      <c r="I41" s="9"/>
    </row>
    <row r="42" spans="1:9" ht="30.75" customHeight="1" x14ac:dyDescent="0.55000000000000004">
      <c r="A42" s="7" t="s">
        <v>612</v>
      </c>
      <c r="B42" s="7"/>
      <c r="C42" s="7"/>
      <c r="D42" s="7"/>
      <c r="E42" s="7"/>
      <c r="F42" s="7"/>
      <c r="G42" s="7"/>
      <c r="H42" s="7"/>
      <c r="I42" s="7"/>
    </row>
    <row r="43" spans="1:9" ht="30.75" customHeight="1" x14ac:dyDescent="0.55000000000000004">
      <c r="A43" s="7" t="s">
        <v>613</v>
      </c>
      <c r="B43" s="7"/>
      <c r="C43" s="7"/>
      <c r="D43" s="7"/>
      <c r="E43" s="7"/>
      <c r="F43" s="7"/>
      <c r="G43" s="7"/>
      <c r="H43" s="7"/>
      <c r="I43" s="7"/>
    </row>
    <row r="44" spans="1:9" ht="25.5" customHeight="1" x14ac:dyDescent="0.55000000000000004">
      <c r="A44" s="7" t="s">
        <v>614</v>
      </c>
      <c r="B44" s="7"/>
      <c r="C44" s="7"/>
      <c r="D44" s="7"/>
      <c r="E44" s="7"/>
      <c r="F44" s="7"/>
      <c r="G44" s="7"/>
      <c r="H44" s="7"/>
      <c r="I44" s="7"/>
    </row>
    <row r="45" spans="1:9" ht="25.5" customHeight="1" x14ac:dyDescent="0.55000000000000004">
      <c r="A45" s="7" t="s">
        <v>615</v>
      </c>
      <c r="B45" s="7"/>
      <c r="C45" s="7"/>
      <c r="D45" s="7"/>
      <c r="E45" s="7"/>
      <c r="F45" s="7"/>
      <c r="G45" s="7"/>
      <c r="H45" s="7"/>
      <c r="I45" s="7"/>
    </row>
  </sheetData>
  <mergeCells count="10">
    <mergeCell ref="A41:I41"/>
    <mergeCell ref="A42:I42"/>
    <mergeCell ref="A43:I43"/>
    <mergeCell ref="A44:I44"/>
    <mergeCell ref="A45:I45"/>
    <mergeCell ref="A1:B3"/>
    <mergeCell ref="C1:I1"/>
    <mergeCell ref="C2:I2"/>
    <mergeCell ref="C3:I3"/>
    <mergeCell ref="A5:I5"/>
  </mergeCells>
  <dataValidations count="4">
    <dataValidation type="list" allowBlank="1" sqref="C7:C39" xr:uid="{00000000-0002-0000-0E00-000000000000}">
      <formula1>"Assets,Liabilities,Equity,Revenue,Cost of Sales,Operating Expenses"</formula1>
      <formula2>0</formula2>
    </dataValidation>
    <dataValidation type="list" allowBlank="1" sqref="F7:F39" xr:uid="{00000000-0002-0000-0E00-000001000000}">
      <formula1>"Direct,Indirect"</formula1>
      <formula2>0</formula2>
    </dataValidation>
    <dataValidation type="list" allowBlank="1" sqref="H7:H39" xr:uid="{00000000-0002-0000-0E00-000002000000}">
      <formula1>"Active,Inactive"</formula1>
      <formula2>0</formula2>
    </dataValidation>
    <dataValidation type="list" allowBlank="1" sqref="E7:E39" xr:uid="{00000000-0002-0000-0E00-000003000000}">
      <formula1>"Debit,Credit"</formula1>
      <formula2>0</formula2>
    </dataValidation>
  </dataValidations>
  <pageMargins left="0.5" right="0.5" top="1" bottom="1" header="0.511811023622047" footer="0.5"/>
  <pageSetup paperSize="9" fitToHeight="0" orientation="landscape" horizontalDpi="300" verticalDpi="300"/>
  <headerFooter>
    <oddFooter>&amp;LFA-14 | Crest Point Consulting Group&amp;CPage &amp;P of &amp;N&amp;RStrictly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pageSetUpPr fitToPage="1"/>
  </sheetPr>
  <dimension ref="A1:E24"/>
  <sheetViews>
    <sheetView showGridLines="0" zoomScaleNormal="100" workbookViewId="0">
      <selection sqref="A1:B3"/>
    </sheetView>
  </sheetViews>
  <sheetFormatPr defaultColWidth="8.68359375" defaultRowHeight="14.4" x14ac:dyDescent="0.55000000000000004"/>
  <cols>
    <col min="1" max="1" width="5" customWidth="1"/>
    <col min="2" max="2" width="44" customWidth="1"/>
    <col min="3" max="4" width="34" customWidth="1"/>
    <col min="5" max="5" width="50" customWidth="1"/>
  </cols>
  <sheetData>
    <row r="1" spans="1:5" ht="55.5" customHeight="1" x14ac:dyDescent="0.55000000000000004">
      <c r="A1" s="6" t="s">
        <v>93</v>
      </c>
      <c r="B1" s="6"/>
      <c r="C1" s="5" t="s">
        <v>0</v>
      </c>
      <c r="D1" s="5"/>
      <c r="E1" s="5"/>
    </row>
    <row r="2" spans="1:5" ht="21.75" customHeight="1" x14ac:dyDescent="0.55000000000000004">
      <c r="A2" s="6"/>
      <c r="B2" s="6"/>
      <c r="C2" s="4" t="s">
        <v>616</v>
      </c>
      <c r="D2" s="4"/>
      <c r="E2" s="4"/>
    </row>
    <row r="3" spans="1:5" ht="21.75" customHeight="1" x14ac:dyDescent="0.55000000000000004">
      <c r="A3" s="6"/>
      <c r="B3" s="6"/>
      <c r="C3" s="3" t="s">
        <v>617</v>
      </c>
      <c r="D3" s="3"/>
      <c r="E3" s="3"/>
    </row>
    <row r="5" spans="1:5" ht="30" customHeight="1" x14ac:dyDescent="0.55000000000000004">
      <c r="A5" s="19" t="s">
        <v>195</v>
      </c>
      <c r="B5" s="19" t="s">
        <v>618</v>
      </c>
      <c r="C5" s="19" t="s">
        <v>374</v>
      </c>
      <c r="D5" s="19" t="s">
        <v>377</v>
      </c>
      <c r="E5" s="19" t="s">
        <v>619</v>
      </c>
    </row>
    <row r="6" spans="1:5" ht="30.75" customHeight="1" x14ac:dyDescent="0.55000000000000004">
      <c r="A6" s="15">
        <v>1</v>
      </c>
      <c r="B6" s="15" t="s">
        <v>620</v>
      </c>
      <c r="C6" s="15" t="s">
        <v>274</v>
      </c>
      <c r="D6" s="15" t="s">
        <v>170</v>
      </c>
      <c r="E6" s="15" t="s">
        <v>621</v>
      </c>
    </row>
    <row r="7" spans="1:5" ht="30.75" customHeight="1" x14ac:dyDescent="0.55000000000000004">
      <c r="A7" s="15">
        <v>2</v>
      </c>
      <c r="B7" s="15" t="s">
        <v>622</v>
      </c>
      <c r="C7" s="15" t="s">
        <v>623</v>
      </c>
      <c r="D7" s="15" t="s">
        <v>274</v>
      </c>
      <c r="E7" s="15" t="s">
        <v>621</v>
      </c>
    </row>
    <row r="8" spans="1:5" ht="30.75" customHeight="1" x14ac:dyDescent="0.55000000000000004">
      <c r="A8" s="15">
        <v>3</v>
      </c>
      <c r="B8" s="15" t="s">
        <v>624</v>
      </c>
      <c r="C8" s="15" t="s">
        <v>170</v>
      </c>
      <c r="D8" s="15" t="s">
        <v>376</v>
      </c>
      <c r="E8" s="15" t="s">
        <v>625</v>
      </c>
    </row>
    <row r="9" spans="1:5" ht="18" customHeight="1" x14ac:dyDescent="0.55000000000000004">
      <c r="A9" s="15">
        <v>4</v>
      </c>
      <c r="B9" s="15" t="s">
        <v>626</v>
      </c>
      <c r="C9" s="15" t="s">
        <v>627</v>
      </c>
      <c r="D9" s="15" t="s">
        <v>129</v>
      </c>
      <c r="E9" s="15" t="s">
        <v>628</v>
      </c>
    </row>
    <row r="10" spans="1:5" ht="30.75" customHeight="1" x14ac:dyDescent="0.55000000000000004">
      <c r="A10" s="15">
        <v>5</v>
      </c>
      <c r="B10" s="15" t="s">
        <v>629</v>
      </c>
      <c r="C10" s="15" t="s">
        <v>129</v>
      </c>
      <c r="D10" s="15" t="s">
        <v>274</v>
      </c>
      <c r="E10" s="15" t="s">
        <v>630</v>
      </c>
    </row>
    <row r="11" spans="1:5" ht="18" customHeight="1" x14ac:dyDescent="0.55000000000000004">
      <c r="A11" s="15">
        <v>6</v>
      </c>
      <c r="B11" s="15" t="s">
        <v>631</v>
      </c>
      <c r="C11" s="15" t="s">
        <v>632</v>
      </c>
      <c r="D11" s="15" t="s">
        <v>633</v>
      </c>
      <c r="E11" s="15" t="s">
        <v>634</v>
      </c>
    </row>
    <row r="12" spans="1:5" ht="18" customHeight="1" x14ac:dyDescent="0.55000000000000004">
      <c r="A12" s="15">
        <v>7</v>
      </c>
      <c r="B12" s="15" t="s">
        <v>635</v>
      </c>
      <c r="C12" s="15" t="s">
        <v>636</v>
      </c>
      <c r="D12" s="15" t="s">
        <v>633</v>
      </c>
      <c r="E12" s="15" t="s">
        <v>637</v>
      </c>
    </row>
    <row r="13" spans="1:5" ht="18" customHeight="1" x14ac:dyDescent="0.55000000000000004">
      <c r="A13" s="15">
        <v>8</v>
      </c>
      <c r="B13" s="15" t="s">
        <v>638</v>
      </c>
      <c r="C13" s="15" t="s">
        <v>639</v>
      </c>
      <c r="D13" s="15" t="s">
        <v>640</v>
      </c>
      <c r="E13" s="15" t="s">
        <v>641</v>
      </c>
    </row>
    <row r="14" spans="1:5" ht="30.75" customHeight="1" x14ac:dyDescent="0.55000000000000004">
      <c r="A14" s="15">
        <v>9</v>
      </c>
      <c r="B14" s="15" t="s">
        <v>642</v>
      </c>
      <c r="C14" s="15" t="s">
        <v>643</v>
      </c>
      <c r="D14" s="15" t="s">
        <v>589</v>
      </c>
      <c r="E14" s="15" t="s">
        <v>644</v>
      </c>
    </row>
    <row r="15" spans="1:5" ht="18" customHeight="1" x14ac:dyDescent="0.55000000000000004">
      <c r="A15" s="15">
        <v>10</v>
      </c>
      <c r="B15" s="15" t="s">
        <v>645</v>
      </c>
      <c r="C15" s="15" t="s">
        <v>589</v>
      </c>
      <c r="D15" s="15" t="s">
        <v>274</v>
      </c>
      <c r="E15" s="15" t="s">
        <v>646</v>
      </c>
    </row>
    <row r="16" spans="1:5" ht="18" customHeight="1" x14ac:dyDescent="0.55000000000000004">
      <c r="A16" s="15">
        <v>11</v>
      </c>
      <c r="B16" s="15" t="s">
        <v>647</v>
      </c>
      <c r="C16" s="15" t="s">
        <v>184</v>
      </c>
      <c r="D16" s="15" t="s">
        <v>186</v>
      </c>
      <c r="E16" s="15" t="s">
        <v>648</v>
      </c>
    </row>
    <row r="17" spans="1:5" ht="18" customHeight="1" x14ac:dyDescent="0.55000000000000004">
      <c r="A17" s="15">
        <v>12</v>
      </c>
      <c r="B17" s="15" t="s">
        <v>649</v>
      </c>
      <c r="C17" s="15" t="s">
        <v>650</v>
      </c>
      <c r="D17" s="15" t="s">
        <v>651</v>
      </c>
      <c r="E17" s="15" t="s">
        <v>628</v>
      </c>
    </row>
    <row r="18" spans="1:5" ht="18" customHeight="1" x14ac:dyDescent="0.55000000000000004">
      <c r="A18" s="15">
        <v>13</v>
      </c>
      <c r="B18" s="15" t="s">
        <v>652</v>
      </c>
      <c r="C18" s="15" t="s">
        <v>653</v>
      </c>
      <c r="D18" s="15" t="s">
        <v>633</v>
      </c>
      <c r="E18" s="15" t="s">
        <v>654</v>
      </c>
    </row>
    <row r="20" spans="1:5" ht="18" customHeight="1" x14ac:dyDescent="0.55000000000000004">
      <c r="A20" s="47" t="s">
        <v>655</v>
      </c>
      <c r="B20" s="47"/>
      <c r="C20" s="47"/>
      <c r="D20" s="47"/>
      <c r="E20" s="47"/>
    </row>
    <row r="21" spans="1:5" ht="30" customHeight="1" x14ac:dyDescent="0.55000000000000004">
      <c r="A21" s="19" t="s">
        <v>195</v>
      </c>
      <c r="B21" s="19" t="s">
        <v>656</v>
      </c>
      <c r="C21" s="19" t="s">
        <v>374</v>
      </c>
      <c r="D21" s="19" t="s">
        <v>377</v>
      </c>
      <c r="E21" s="19" t="s">
        <v>338</v>
      </c>
    </row>
    <row r="22" spans="1:5" ht="30.75" customHeight="1" x14ac:dyDescent="0.55000000000000004">
      <c r="A22" s="15">
        <v>1</v>
      </c>
      <c r="B22" s="15" t="s">
        <v>100</v>
      </c>
      <c r="C22" s="15" t="s">
        <v>657</v>
      </c>
      <c r="D22" s="15" t="s">
        <v>658</v>
      </c>
      <c r="E22" s="15" t="s">
        <v>659</v>
      </c>
    </row>
    <row r="23" spans="1:5" ht="30.75" customHeight="1" x14ac:dyDescent="0.55000000000000004">
      <c r="A23" s="15">
        <v>2</v>
      </c>
      <c r="B23" s="15" t="s">
        <v>158</v>
      </c>
      <c r="C23" s="15" t="s">
        <v>658</v>
      </c>
      <c r="D23" s="15" t="s">
        <v>660</v>
      </c>
      <c r="E23" s="15" t="s">
        <v>661</v>
      </c>
    </row>
    <row r="24" spans="1:5" ht="43.5" customHeight="1" x14ac:dyDescent="0.55000000000000004">
      <c r="A24" s="15">
        <v>3</v>
      </c>
      <c r="B24" s="15" t="s">
        <v>180</v>
      </c>
      <c r="C24" s="15" t="s">
        <v>662</v>
      </c>
      <c r="D24" s="15" t="s">
        <v>663</v>
      </c>
      <c r="E24" s="15" t="s">
        <v>664</v>
      </c>
    </row>
  </sheetData>
  <mergeCells count="5">
    <mergeCell ref="A1:B3"/>
    <mergeCell ref="C1:E1"/>
    <mergeCell ref="C2:E2"/>
    <mergeCell ref="C3:E3"/>
    <mergeCell ref="A20:E20"/>
  </mergeCells>
  <pageMargins left="0.5" right="0.5" top="1" bottom="1" header="0.511811023622047" footer="0.5"/>
  <pageSetup paperSize="9" fitToHeight="0" orientation="landscape" horizontalDpi="300" verticalDpi="300"/>
  <headerFooter>
    <oddFooter>&amp;LFA-15 | Crest Point Consulting Group&amp;CPage &amp;P of &amp;N&amp;RStrictly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pageSetUpPr fitToPage="1"/>
  </sheetPr>
  <dimension ref="A1:D32"/>
  <sheetViews>
    <sheetView showGridLines="0" zoomScaleNormal="100" workbookViewId="0">
      <selection sqref="A1:B3"/>
    </sheetView>
  </sheetViews>
  <sheetFormatPr defaultColWidth="8.68359375" defaultRowHeight="14.4" x14ac:dyDescent="0.55000000000000004"/>
  <cols>
    <col min="1" max="1" width="14" customWidth="1"/>
    <col min="2" max="2" width="48" customWidth="1"/>
    <col min="3" max="4" width="20" customWidth="1"/>
  </cols>
  <sheetData>
    <row r="1" spans="1:4" ht="30.75" customHeight="1" x14ac:dyDescent="0.55000000000000004">
      <c r="A1" s="6" t="s">
        <v>93</v>
      </c>
      <c r="B1" s="6"/>
      <c r="C1" s="5" t="s">
        <v>0</v>
      </c>
      <c r="D1" s="5"/>
    </row>
    <row r="2" spans="1:4" ht="18" customHeight="1" x14ac:dyDescent="0.55000000000000004">
      <c r="A2" s="6"/>
      <c r="B2" s="6"/>
      <c r="C2" s="4" t="s">
        <v>665</v>
      </c>
      <c r="D2" s="4"/>
    </row>
    <row r="3" spans="1:4" ht="30.75" customHeight="1" x14ac:dyDescent="0.55000000000000004">
      <c r="A3" s="6"/>
      <c r="B3" s="6"/>
      <c r="C3" s="3" t="s">
        <v>666</v>
      </c>
      <c r="D3" s="3"/>
    </row>
    <row r="5" spans="1:4" ht="18" customHeight="1" x14ac:dyDescent="0.55000000000000004">
      <c r="A5" s="9" t="s">
        <v>667</v>
      </c>
      <c r="B5" s="9"/>
      <c r="C5" s="39" t="s">
        <v>668</v>
      </c>
      <c r="D5" s="39"/>
    </row>
    <row r="6" spans="1:4" ht="30.75" customHeight="1" x14ac:dyDescent="0.55000000000000004">
      <c r="A6" s="9" t="s">
        <v>669</v>
      </c>
      <c r="B6" s="9"/>
      <c r="C6" s="39" t="s">
        <v>670</v>
      </c>
      <c r="D6" s="39"/>
    </row>
    <row r="7" spans="1:4" ht="18" customHeight="1" x14ac:dyDescent="0.55000000000000004">
      <c r="A7" s="9" t="s">
        <v>671</v>
      </c>
      <c r="B7" s="9"/>
      <c r="C7" s="55">
        <v>46306.395833333299</v>
      </c>
      <c r="D7" s="55"/>
    </row>
    <row r="8" spans="1:4" ht="18" customHeight="1" x14ac:dyDescent="0.55000000000000004">
      <c r="A8" s="9" t="s">
        <v>672</v>
      </c>
      <c r="B8" s="9"/>
      <c r="C8" s="1" t="s">
        <v>515</v>
      </c>
      <c r="D8" s="1"/>
    </row>
    <row r="10" spans="1:4" ht="24" customHeight="1" x14ac:dyDescent="0.55000000000000004">
      <c r="A10" s="19" t="s">
        <v>124</v>
      </c>
      <c r="B10" s="19" t="s">
        <v>125</v>
      </c>
      <c r="C10" s="19" t="s">
        <v>127</v>
      </c>
      <c r="D10" s="19" t="s">
        <v>128</v>
      </c>
    </row>
    <row r="11" spans="1:4" ht="18" customHeight="1" x14ac:dyDescent="0.55000000000000004">
      <c r="A11" s="14">
        <v>1110</v>
      </c>
      <c r="B11" s="25" t="s">
        <v>572</v>
      </c>
      <c r="C11" s="26">
        <v>150000</v>
      </c>
      <c r="D11" s="26"/>
    </row>
    <row r="12" spans="1:4" ht="18" customHeight="1" x14ac:dyDescent="0.55000000000000004">
      <c r="A12" s="14">
        <v>1120</v>
      </c>
      <c r="B12" s="25" t="s">
        <v>169</v>
      </c>
      <c r="C12" s="26">
        <v>5950000</v>
      </c>
      <c r="D12" s="26"/>
    </row>
    <row r="13" spans="1:4" ht="18" customHeight="1" x14ac:dyDescent="0.55000000000000004">
      <c r="A13" s="14">
        <v>1130</v>
      </c>
      <c r="B13" s="25" t="s">
        <v>131</v>
      </c>
      <c r="C13" s="26">
        <v>1250000</v>
      </c>
      <c r="D13" s="26"/>
    </row>
    <row r="14" spans="1:4" ht="18" customHeight="1" x14ac:dyDescent="0.55000000000000004">
      <c r="A14" s="14">
        <v>1310</v>
      </c>
      <c r="B14" s="25" t="s">
        <v>581</v>
      </c>
      <c r="C14" s="26">
        <v>12000000</v>
      </c>
      <c r="D14" s="26"/>
    </row>
    <row r="15" spans="1:4" ht="18" customHeight="1" x14ac:dyDescent="0.55000000000000004">
      <c r="A15" s="14">
        <v>1530</v>
      </c>
      <c r="B15" s="25" t="s">
        <v>585</v>
      </c>
      <c r="C15" s="26">
        <v>3000000</v>
      </c>
      <c r="D15" s="26"/>
    </row>
    <row r="16" spans="1:4" ht="18" customHeight="1" x14ac:dyDescent="0.55000000000000004">
      <c r="A16" s="14">
        <v>5100</v>
      </c>
      <c r="B16" s="25" t="s">
        <v>599</v>
      </c>
      <c r="C16" s="26">
        <v>1320000</v>
      </c>
      <c r="D16" s="26"/>
    </row>
    <row r="17" spans="1:4" ht="18" customHeight="1" x14ac:dyDescent="0.55000000000000004">
      <c r="A17" s="14">
        <v>5200</v>
      </c>
      <c r="B17" s="25" t="s">
        <v>603</v>
      </c>
      <c r="C17" s="26">
        <v>400000</v>
      </c>
      <c r="D17" s="26"/>
    </row>
    <row r="18" spans="1:4" ht="18" customHeight="1" x14ac:dyDescent="0.55000000000000004">
      <c r="A18" s="14">
        <v>6100</v>
      </c>
      <c r="B18" s="25" t="s">
        <v>604</v>
      </c>
      <c r="C18" s="26">
        <v>900000</v>
      </c>
      <c r="D18" s="26"/>
    </row>
    <row r="19" spans="1:4" ht="18" customHeight="1" x14ac:dyDescent="0.55000000000000004">
      <c r="A19" s="14">
        <v>6200</v>
      </c>
      <c r="B19" s="25" t="s">
        <v>184</v>
      </c>
      <c r="C19" s="26">
        <v>45000</v>
      </c>
      <c r="D19" s="26"/>
    </row>
    <row r="20" spans="1:4" ht="18" customHeight="1" x14ac:dyDescent="0.55000000000000004">
      <c r="A20" s="14">
        <v>1590</v>
      </c>
      <c r="B20" s="25" t="s">
        <v>186</v>
      </c>
      <c r="C20" s="26"/>
      <c r="D20" s="26">
        <v>45000</v>
      </c>
    </row>
    <row r="21" spans="1:4" ht="18" customHeight="1" x14ac:dyDescent="0.55000000000000004">
      <c r="A21" s="14">
        <v>2110</v>
      </c>
      <c r="B21" s="25" t="s">
        <v>129</v>
      </c>
      <c r="C21" s="26"/>
      <c r="D21" s="26">
        <v>85000</v>
      </c>
    </row>
    <row r="22" spans="1:4" ht="18" customHeight="1" x14ac:dyDescent="0.55000000000000004">
      <c r="A22" s="14">
        <v>2130</v>
      </c>
      <c r="B22" s="25" t="s">
        <v>590</v>
      </c>
      <c r="C22" s="26"/>
      <c r="D22" s="26">
        <v>60000</v>
      </c>
    </row>
    <row r="23" spans="1:4" ht="18" customHeight="1" x14ac:dyDescent="0.55000000000000004">
      <c r="A23" s="14">
        <v>2210</v>
      </c>
      <c r="B23" s="25" t="s">
        <v>591</v>
      </c>
      <c r="C23" s="26"/>
      <c r="D23" s="26">
        <v>2500000</v>
      </c>
    </row>
    <row r="24" spans="1:4" ht="18" customHeight="1" x14ac:dyDescent="0.55000000000000004">
      <c r="A24" s="14">
        <v>4100</v>
      </c>
      <c r="B24" s="25" t="s">
        <v>593</v>
      </c>
      <c r="C24" s="26"/>
      <c r="D24" s="26">
        <v>2100000</v>
      </c>
    </row>
    <row r="25" spans="1:4" ht="18" customHeight="1" x14ac:dyDescent="0.55000000000000004">
      <c r="A25" s="14">
        <v>3100</v>
      </c>
      <c r="B25" s="25" t="s">
        <v>673</v>
      </c>
      <c r="C25" s="26"/>
      <c r="D25" s="26">
        <v>20225000</v>
      </c>
    </row>
    <row r="26" spans="1:4" ht="18" customHeight="1" x14ac:dyDescent="0.55000000000000004">
      <c r="A26" s="40" t="s">
        <v>133</v>
      </c>
      <c r="B26" s="40"/>
      <c r="C26" s="29">
        <f>SUM(C11:C25)</f>
        <v>25015000</v>
      </c>
      <c r="D26" s="29">
        <f>SUM(D11:D25)</f>
        <v>25015000</v>
      </c>
    </row>
    <row r="27" spans="1:4" x14ac:dyDescent="0.55000000000000004">
      <c r="A27" s="41" t="str">
        <f>IF(ROUND(C26-D26,2)=0,"BALANCED - Trial Balance agrees","OUT OF BALANCE")</f>
        <v>BALANCED - Trial Balance agrees</v>
      </c>
      <c r="B27" s="41"/>
      <c r="C27" s="41"/>
      <c r="D27" s="41"/>
    </row>
    <row r="29" spans="1:4" ht="18" customHeight="1" x14ac:dyDescent="0.55000000000000004">
      <c r="A29" s="9" t="s">
        <v>148</v>
      </c>
      <c r="B29" s="9"/>
      <c r="C29" s="9"/>
      <c r="D29" s="9"/>
    </row>
    <row r="30" spans="1:4" ht="30.75" customHeight="1" x14ac:dyDescent="0.55000000000000004">
      <c r="A30" s="7" t="s">
        <v>674</v>
      </c>
      <c r="B30" s="7"/>
      <c r="C30" s="7"/>
      <c r="D30" s="7"/>
    </row>
    <row r="31" spans="1:4" ht="30.75" customHeight="1" x14ac:dyDescent="0.55000000000000004">
      <c r="A31" s="7" t="s">
        <v>675</v>
      </c>
      <c r="B31" s="7"/>
      <c r="C31" s="7"/>
      <c r="D31" s="7"/>
    </row>
    <row r="32" spans="1:4" ht="21.75" customHeight="1" x14ac:dyDescent="0.55000000000000004">
      <c r="A32" s="7" t="s">
        <v>676</v>
      </c>
      <c r="B32" s="7"/>
      <c r="C32" s="7"/>
      <c r="D32" s="7"/>
    </row>
  </sheetData>
  <mergeCells count="18">
    <mergeCell ref="A32:D32"/>
    <mergeCell ref="A26:B26"/>
    <mergeCell ref="A27:D27"/>
    <mergeCell ref="A29:D29"/>
    <mergeCell ref="A30:D30"/>
    <mergeCell ref="A31:D31"/>
    <mergeCell ref="A6:B6"/>
    <mergeCell ref="C6:D6"/>
    <mergeCell ref="A7:B7"/>
    <mergeCell ref="C7:D7"/>
    <mergeCell ref="A8:B8"/>
    <mergeCell ref="C8:D8"/>
    <mergeCell ref="A1:B3"/>
    <mergeCell ref="C1:D1"/>
    <mergeCell ref="C2:D2"/>
    <mergeCell ref="C3:D3"/>
    <mergeCell ref="A5:B5"/>
    <mergeCell ref="C5:D5"/>
  </mergeCells>
  <pageMargins left="0.5" right="0.5" top="1" bottom="1" header="0.511811023622047" footer="0.5"/>
  <pageSetup paperSize="9" fitToHeight="0" orientation="portrait" horizontalDpi="300" verticalDpi="300"/>
  <headerFooter>
    <oddFooter>&amp;LFA-16 | Crest Point Consulting Group&amp;CPage &amp;P of &amp;N&amp;RStrictly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pageSetUpPr fitToPage="1"/>
  </sheetPr>
  <dimension ref="A1:E21"/>
  <sheetViews>
    <sheetView showGridLines="0" zoomScaleNormal="100" workbookViewId="0">
      <selection sqref="A1:B3"/>
    </sheetView>
  </sheetViews>
  <sheetFormatPr defaultColWidth="8.68359375" defaultRowHeight="14.4" x14ac:dyDescent="0.55000000000000004"/>
  <cols>
    <col min="1" max="1" width="5" customWidth="1"/>
    <col min="2" max="2" width="36" customWidth="1"/>
    <col min="3" max="3" width="18" customWidth="1"/>
    <col min="4" max="4" width="60" customWidth="1"/>
    <col min="5" max="5" width="16" customWidth="1"/>
  </cols>
  <sheetData>
    <row r="1" spans="1:5" ht="55.5" customHeight="1" x14ac:dyDescent="0.55000000000000004">
      <c r="A1" s="6" t="s">
        <v>93</v>
      </c>
      <c r="B1" s="6"/>
      <c r="C1" s="5" t="s">
        <v>0</v>
      </c>
      <c r="D1" s="5"/>
      <c r="E1" s="5"/>
    </row>
    <row r="2" spans="1:5" ht="21.75" customHeight="1" x14ac:dyDescent="0.55000000000000004">
      <c r="A2" s="6"/>
      <c r="B2" s="6"/>
      <c r="C2" s="4" t="s">
        <v>677</v>
      </c>
      <c r="D2" s="4"/>
      <c r="E2" s="4"/>
    </row>
    <row r="3" spans="1:5" ht="21.75" customHeight="1" x14ac:dyDescent="0.55000000000000004">
      <c r="A3" s="6"/>
      <c r="B3" s="6"/>
      <c r="C3" s="3" t="s">
        <v>678</v>
      </c>
      <c r="D3" s="3"/>
      <c r="E3" s="3"/>
    </row>
    <row r="5" spans="1:5" ht="30" customHeight="1" x14ac:dyDescent="0.55000000000000004">
      <c r="A5" s="19" t="s">
        <v>195</v>
      </c>
      <c r="B5" s="19" t="s">
        <v>679</v>
      </c>
      <c r="C5" s="19" t="s">
        <v>680</v>
      </c>
      <c r="D5" s="19" t="s">
        <v>681</v>
      </c>
      <c r="E5" s="19" t="s">
        <v>682</v>
      </c>
    </row>
    <row r="6" spans="1:5" ht="18" customHeight="1" x14ac:dyDescent="0.55000000000000004">
      <c r="A6" s="15">
        <v>1</v>
      </c>
      <c r="B6" s="15" t="s">
        <v>683</v>
      </c>
      <c r="C6" s="15" t="s">
        <v>684</v>
      </c>
      <c r="D6" s="15" t="s">
        <v>685</v>
      </c>
      <c r="E6" s="15" t="s">
        <v>686</v>
      </c>
    </row>
    <row r="7" spans="1:5" ht="18" customHeight="1" x14ac:dyDescent="0.55000000000000004">
      <c r="A7" s="15">
        <v>2</v>
      </c>
      <c r="B7" s="15" t="s">
        <v>687</v>
      </c>
      <c r="C7" s="15" t="s">
        <v>684</v>
      </c>
      <c r="D7" s="15" t="s">
        <v>688</v>
      </c>
      <c r="E7" s="15" t="s">
        <v>686</v>
      </c>
    </row>
    <row r="8" spans="1:5" ht="18" customHeight="1" x14ac:dyDescent="0.55000000000000004">
      <c r="A8" s="15">
        <v>3</v>
      </c>
      <c r="B8" s="15" t="s">
        <v>689</v>
      </c>
      <c r="C8" s="15" t="s">
        <v>684</v>
      </c>
      <c r="D8" s="15" t="s">
        <v>688</v>
      </c>
      <c r="E8" s="15" t="s">
        <v>686</v>
      </c>
    </row>
    <row r="9" spans="1:5" ht="18" customHeight="1" x14ac:dyDescent="0.55000000000000004">
      <c r="A9" s="15">
        <v>4</v>
      </c>
      <c r="B9" s="15" t="s">
        <v>690</v>
      </c>
      <c r="C9" s="15" t="s">
        <v>684</v>
      </c>
      <c r="D9" s="15" t="s">
        <v>691</v>
      </c>
      <c r="E9" s="15" t="s">
        <v>686</v>
      </c>
    </row>
    <row r="10" spans="1:5" ht="18" customHeight="1" x14ac:dyDescent="0.55000000000000004">
      <c r="A10" s="15">
        <v>5</v>
      </c>
      <c r="B10" s="15" t="s">
        <v>692</v>
      </c>
      <c r="C10" s="15" t="s">
        <v>684</v>
      </c>
      <c r="D10" s="15" t="s">
        <v>691</v>
      </c>
      <c r="E10" s="15" t="s">
        <v>686</v>
      </c>
    </row>
    <row r="11" spans="1:5" ht="18" customHeight="1" x14ac:dyDescent="0.55000000000000004">
      <c r="A11" s="15">
        <v>6</v>
      </c>
      <c r="B11" s="15" t="s">
        <v>693</v>
      </c>
      <c r="C11" s="15" t="s">
        <v>684</v>
      </c>
      <c r="D11" s="15" t="s">
        <v>694</v>
      </c>
      <c r="E11" s="15" t="s">
        <v>686</v>
      </c>
    </row>
    <row r="12" spans="1:5" ht="18" customHeight="1" x14ac:dyDescent="0.55000000000000004">
      <c r="A12" s="15">
        <v>7</v>
      </c>
      <c r="B12" s="15" t="s">
        <v>695</v>
      </c>
      <c r="C12" s="15" t="s">
        <v>684</v>
      </c>
      <c r="D12" s="15" t="s">
        <v>696</v>
      </c>
      <c r="E12" s="15" t="s">
        <v>686</v>
      </c>
    </row>
    <row r="13" spans="1:5" ht="18" customHeight="1" x14ac:dyDescent="0.55000000000000004">
      <c r="A13" s="15">
        <v>8</v>
      </c>
      <c r="B13" s="15" t="s">
        <v>697</v>
      </c>
      <c r="C13" s="15" t="s">
        <v>684</v>
      </c>
      <c r="D13" s="15" t="s">
        <v>698</v>
      </c>
      <c r="E13" s="15" t="s">
        <v>686</v>
      </c>
    </row>
    <row r="14" spans="1:5" ht="30.75" customHeight="1" x14ac:dyDescent="0.55000000000000004">
      <c r="A14" s="15">
        <v>9</v>
      </c>
      <c r="B14" s="15" t="s">
        <v>699</v>
      </c>
      <c r="C14" s="15" t="s">
        <v>684</v>
      </c>
      <c r="D14" s="15" t="s">
        <v>700</v>
      </c>
      <c r="E14" s="15" t="s">
        <v>686</v>
      </c>
    </row>
    <row r="15" spans="1:5" ht="30.75" customHeight="1" x14ac:dyDescent="0.55000000000000004">
      <c r="A15" s="15">
        <v>10</v>
      </c>
      <c r="B15" s="15" t="s">
        <v>701</v>
      </c>
      <c r="C15" s="15" t="s">
        <v>702</v>
      </c>
      <c r="D15" s="15" t="s">
        <v>703</v>
      </c>
      <c r="E15" s="15" t="s">
        <v>686</v>
      </c>
    </row>
    <row r="16" spans="1:5" ht="18" customHeight="1" x14ac:dyDescent="0.55000000000000004">
      <c r="A16" s="15">
        <v>11</v>
      </c>
      <c r="B16" s="15" t="s">
        <v>704</v>
      </c>
      <c r="C16" s="15" t="s">
        <v>684</v>
      </c>
      <c r="D16" s="15" t="s">
        <v>705</v>
      </c>
      <c r="E16" s="15" t="s">
        <v>686</v>
      </c>
    </row>
    <row r="17" spans="1:5" ht="18" customHeight="1" x14ac:dyDescent="0.55000000000000004">
      <c r="A17" s="15">
        <v>12</v>
      </c>
      <c r="B17" s="15" t="s">
        <v>706</v>
      </c>
      <c r="C17" s="15" t="s">
        <v>684</v>
      </c>
      <c r="D17" s="15" t="s">
        <v>707</v>
      </c>
      <c r="E17" s="15" t="s">
        <v>686</v>
      </c>
    </row>
    <row r="18" spans="1:5" ht="18" customHeight="1" x14ac:dyDescent="0.55000000000000004">
      <c r="A18" s="15">
        <v>13</v>
      </c>
      <c r="B18" s="15" t="s">
        <v>708</v>
      </c>
      <c r="C18" s="15" t="s">
        <v>684</v>
      </c>
      <c r="D18" s="15" t="s">
        <v>709</v>
      </c>
      <c r="E18" s="15" t="s">
        <v>686</v>
      </c>
    </row>
    <row r="19" spans="1:5" ht="18" customHeight="1" x14ac:dyDescent="0.55000000000000004">
      <c r="A19" s="15">
        <v>14</v>
      </c>
      <c r="B19" s="15" t="s">
        <v>710</v>
      </c>
      <c r="C19" s="15" t="s">
        <v>684</v>
      </c>
      <c r="D19" s="15" t="s">
        <v>711</v>
      </c>
      <c r="E19" s="15" t="s">
        <v>686</v>
      </c>
    </row>
    <row r="20" spans="1:5" ht="18" customHeight="1" x14ac:dyDescent="0.55000000000000004">
      <c r="A20" s="15">
        <v>15</v>
      </c>
      <c r="B20" s="15" t="s">
        <v>712</v>
      </c>
      <c r="C20" s="15" t="s">
        <v>684</v>
      </c>
      <c r="D20" s="15" t="s">
        <v>713</v>
      </c>
      <c r="E20" s="15" t="s">
        <v>686</v>
      </c>
    </row>
    <row r="21" spans="1:5" ht="30.75" customHeight="1" x14ac:dyDescent="0.55000000000000004">
      <c r="A21" s="15">
        <v>16</v>
      </c>
      <c r="B21" s="15" t="s">
        <v>230</v>
      </c>
      <c r="C21" s="15" t="s">
        <v>684</v>
      </c>
      <c r="D21" s="15" t="s">
        <v>714</v>
      </c>
      <c r="E21" s="15" t="s">
        <v>686</v>
      </c>
    </row>
  </sheetData>
  <mergeCells count="4">
    <mergeCell ref="A1:B3"/>
    <mergeCell ref="C1:E1"/>
    <mergeCell ref="C2:E2"/>
    <mergeCell ref="C3:E3"/>
  </mergeCells>
  <pageMargins left="0.5" right="0.5" top="1" bottom="1" header="0.511811023622047" footer="0.5"/>
  <pageSetup paperSize="9" fitToHeight="0" orientation="landscape" horizontalDpi="300" verticalDpi="300"/>
  <headerFooter>
    <oddFooter>&amp;LFA-17 | Crest Point Consulting Group&amp;CPage &amp;P of &amp;N&amp;RStrictly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F7F7F"/>
    <pageSetUpPr fitToPage="1"/>
  </sheetPr>
  <dimension ref="A1:I17"/>
  <sheetViews>
    <sheetView showGridLines="0" zoomScaleNormal="100" workbookViewId="0">
      <selection sqref="A1:B3"/>
    </sheetView>
  </sheetViews>
  <sheetFormatPr defaultColWidth="8.68359375" defaultRowHeight="14.4" x14ac:dyDescent="0.55000000000000004"/>
  <cols>
    <col min="1" max="1" width="8" customWidth="1"/>
    <col min="2" max="2" width="19" customWidth="1"/>
    <col min="3" max="3" width="14" customWidth="1"/>
    <col min="4" max="4" width="22" customWidth="1"/>
    <col min="5" max="5" width="18" customWidth="1"/>
    <col min="6" max="6" width="10" customWidth="1"/>
    <col min="7" max="7" width="30" customWidth="1"/>
    <col min="8" max="8" width="16" customWidth="1"/>
    <col min="9" max="9" width="64" customWidth="1"/>
  </cols>
  <sheetData>
    <row r="1" spans="1:9" ht="43.5" customHeight="1" x14ac:dyDescent="0.55000000000000004">
      <c r="A1" s="6" t="s">
        <v>93</v>
      </c>
      <c r="B1" s="6"/>
      <c r="C1" s="5" t="s">
        <v>0</v>
      </c>
      <c r="D1" s="5"/>
      <c r="E1" s="5"/>
      <c r="F1" s="5"/>
      <c r="G1" s="5"/>
      <c r="H1" s="5"/>
      <c r="I1" s="5"/>
    </row>
    <row r="2" spans="1:9" ht="21.75" customHeight="1" x14ac:dyDescent="0.55000000000000004">
      <c r="A2" s="6"/>
      <c r="B2" s="6"/>
      <c r="C2" s="4" t="s">
        <v>715</v>
      </c>
      <c r="D2" s="4"/>
      <c r="E2" s="4"/>
      <c r="F2" s="4"/>
      <c r="G2" s="4"/>
      <c r="H2" s="4"/>
      <c r="I2" s="4"/>
    </row>
    <row r="3" spans="1:9" ht="21.75" customHeight="1" x14ac:dyDescent="0.55000000000000004">
      <c r="A3" s="6"/>
      <c r="B3" s="6"/>
      <c r="C3" s="3" t="s">
        <v>716</v>
      </c>
      <c r="D3" s="3"/>
      <c r="E3" s="3"/>
      <c r="F3" s="3"/>
      <c r="G3" s="3"/>
      <c r="H3" s="3"/>
      <c r="I3" s="3"/>
    </row>
    <row r="5" spans="1:9" ht="33.75" customHeight="1" x14ac:dyDescent="0.55000000000000004">
      <c r="A5" s="19" t="s">
        <v>717</v>
      </c>
      <c r="B5" s="19" t="s">
        <v>718</v>
      </c>
      <c r="C5" s="19" t="s">
        <v>719</v>
      </c>
      <c r="D5" s="19" t="s">
        <v>720</v>
      </c>
      <c r="E5" s="19" t="s">
        <v>463</v>
      </c>
      <c r="F5" s="19" t="s">
        <v>721</v>
      </c>
      <c r="G5" s="19" t="s">
        <v>722</v>
      </c>
      <c r="H5" s="19" t="s">
        <v>723</v>
      </c>
      <c r="I5" s="19" t="s">
        <v>724</v>
      </c>
    </row>
    <row r="6" spans="1:9" ht="30.75" customHeight="1" x14ac:dyDescent="0.55000000000000004">
      <c r="A6" s="16">
        <v>1</v>
      </c>
      <c r="B6" s="36">
        <v>46304.402777777803</v>
      </c>
      <c r="C6" s="23" t="s">
        <v>468</v>
      </c>
      <c r="D6" s="23" t="s">
        <v>725</v>
      </c>
      <c r="E6" s="23" t="s">
        <v>726</v>
      </c>
      <c r="F6" s="23" t="s">
        <v>102</v>
      </c>
      <c r="G6" s="23" t="s">
        <v>727</v>
      </c>
      <c r="H6" s="23" t="s">
        <v>466</v>
      </c>
      <c r="I6" s="23" t="s">
        <v>728</v>
      </c>
    </row>
    <row r="7" spans="1:9" ht="18" customHeight="1" x14ac:dyDescent="0.55000000000000004">
      <c r="A7" s="16">
        <v>2</v>
      </c>
      <c r="B7" s="36">
        <v>46304.425000000003</v>
      </c>
      <c r="C7" s="23" t="s">
        <v>468</v>
      </c>
      <c r="D7" s="23" t="s">
        <v>725</v>
      </c>
      <c r="E7" s="23" t="s">
        <v>726</v>
      </c>
      <c r="F7" s="23" t="s">
        <v>102</v>
      </c>
      <c r="G7" s="23" t="s">
        <v>729</v>
      </c>
      <c r="H7" s="23" t="s">
        <v>461</v>
      </c>
      <c r="I7" s="23" t="s">
        <v>730</v>
      </c>
    </row>
    <row r="8" spans="1:9" ht="30.75" customHeight="1" x14ac:dyDescent="0.55000000000000004">
      <c r="A8" s="16">
        <v>3</v>
      </c>
      <c r="B8" s="36">
        <v>46304.486111111102</v>
      </c>
      <c r="C8" s="23" t="s">
        <v>515</v>
      </c>
      <c r="D8" s="23" t="s">
        <v>731</v>
      </c>
      <c r="E8" s="23" t="s">
        <v>726</v>
      </c>
      <c r="F8" s="23" t="s">
        <v>102</v>
      </c>
      <c r="G8" s="23" t="s">
        <v>732</v>
      </c>
      <c r="H8" s="23" t="s">
        <v>461</v>
      </c>
      <c r="I8" s="23" t="s">
        <v>733</v>
      </c>
    </row>
    <row r="9" spans="1:9" ht="30.75" customHeight="1" x14ac:dyDescent="0.55000000000000004">
      <c r="A9" s="16">
        <v>4</v>
      </c>
      <c r="B9" s="36">
        <v>46304.503472222197</v>
      </c>
      <c r="C9" s="23" t="s">
        <v>468</v>
      </c>
      <c r="D9" s="23" t="s">
        <v>725</v>
      </c>
      <c r="E9" s="23" t="s">
        <v>726</v>
      </c>
      <c r="F9" s="23" t="s">
        <v>102</v>
      </c>
      <c r="G9" s="23" t="s">
        <v>734</v>
      </c>
      <c r="H9" s="23" t="s">
        <v>466</v>
      </c>
      <c r="I9" s="23" t="s">
        <v>735</v>
      </c>
    </row>
    <row r="10" spans="1:9" ht="18" customHeight="1" x14ac:dyDescent="0.55000000000000004">
      <c r="A10" s="16">
        <v>5</v>
      </c>
      <c r="B10" s="36">
        <v>46304.597222222197</v>
      </c>
      <c r="C10" s="23" t="s">
        <v>515</v>
      </c>
      <c r="D10" s="23" t="s">
        <v>731</v>
      </c>
      <c r="E10" s="23" t="s">
        <v>726</v>
      </c>
      <c r="F10" s="23" t="s">
        <v>102</v>
      </c>
      <c r="G10" s="23" t="s">
        <v>736</v>
      </c>
      <c r="H10" s="23" t="s">
        <v>466</v>
      </c>
      <c r="I10" s="23" t="s">
        <v>737</v>
      </c>
    </row>
    <row r="11" spans="1:9" ht="30.75" customHeight="1" x14ac:dyDescent="0.55000000000000004">
      <c r="A11" s="16">
        <v>6</v>
      </c>
      <c r="B11" s="36">
        <v>46305.385416666701</v>
      </c>
      <c r="C11" s="23" t="s">
        <v>738</v>
      </c>
      <c r="D11" s="23" t="s">
        <v>739</v>
      </c>
      <c r="E11" s="23" t="s">
        <v>726</v>
      </c>
      <c r="F11" s="23" t="s">
        <v>102</v>
      </c>
      <c r="G11" s="23" t="s">
        <v>740</v>
      </c>
      <c r="H11" s="23" t="s">
        <v>466</v>
      </c>
      <c r="I11" s="23" t="s">
        <v>741</v>
      </c>
    </row>
    <row r="12" spans="1:9" ht="18" customHeight="1" x14ac:dyDescent="0.55000000000000004">
      <c r="A12" s="16">
        <v>7</v>
      </c>
      <c r="B12" s="36">
        <v>46306.368055555598</v>
      </c>
      <c r="C12" s="23" t="s">
        <v>515</v>
      </c>
      <c r="D12" s="23" t="s">
        <v>731</v>
      </c>
      <c r="E12" s="23" t="s">
        <v>726</v>
      </c>
      <c r="F12" s="23" t="s">
        <v>102</v>
      </c>
      <c r="G12" s="23" t="s">
        <v>742</v>
      </c>
      <c r="H12" s="23" t="s">
        <v>743</v>
      </c>
      <c r="I12" s="23" t="s">
        <v>744</v>
      </c>
    </row>
    <row r="14" spans="1:9" ht="18" customHeight="1" x14ac:dyDescent="0.55000000000000004">
      <c r="A14" s="9" t="s">
        <v>148</v>
      </c>
      <c r="B14" s="9"/>
      <c r="C14" s="9"/>
      <c r="D14" s="9"/>
      <c r="E14" s="9"/>
      <c r="F14" s="9"/>
      <c r="G14" s="9"/>
      <c r="H14" s="9"/>
      <c r="I14" s="9"/>
    </row>
    <row r="15" spans="1:9" ht="21.75" customHeight="1" x14ac:dyDescent="0.55000000000000004">
      <c r="A15" s="7" t="s">
        <v>745</v>
      </c>
      <c r="B15" s="7"/>
      <c r="C15" s="7"/>
      <c r="D15" s="7"/>
      <c r="E15" s="7"/>
      <c r="F15" s="7"/>
      <c r="G15" s="7"/>
      <c r="H15" s="7"/>
      <c r="I15" s="7"/>
    </row>
    <row r="16" spans="1:9" ht="30.75" customHeight="1" x14ac:dyDescent="0.55000000000000004">
      <c r="A16" s="7" t="s">
        <v>746</v>
      </c>
      <c r="B16" s="7"/>
      <c r="C16" s="7"/>
      <c r="D16" s="7"/>
      <c r="E16" s="7"/>
      <c r="F16" s="7"/>
      <c r="G16" s="7"/>
      <c r="H16" s="7"/>
      <c r="I16" s="7"/>
    </row>
    <row r="17" spans="1:9" ht="21.75" customHeight="1" x14ac:dyDescent="0.55000000000000004">
      <c r="A17" s="7" t="s">
        <v>747</v>
      </c>
      <c r="B17" s="7"/>
      <c r="C17" s="7"/>
      <c r="D17" s="7"/>
      <c r="E17" s="7"/>
      <c r="F17" s="7"/>
      <c r="G17" s="7"/>
      <c r="H17" s="7"/>
      <c r="I17" s="7"/>
    </row>
  </sheetData>
  <mergeCells count="8">
    <mergeCell ref="A15:I15"/>
    <mergeCell ref="A16:I16"/>
    <mergeCell ref="A17:I17"/>
    <mergeCell ref="A1:B3"/>
    <mergeCell ref="C1:I1"/>
    <mergeCell ref="C2:I2"/>
    <mergeCell ref="C3:I3"/>
    <mergeCell ref="A14:I14"/>
  </mergeCells>
  <pageMargins left="0.5" right="0.5" top="1" bottom="1" header="0.511811023622047" footer="0.5"/>
  <pageSetup paperSize="9" fitToHeight="0" orientation="landscape" horizontalDpi="300" verticalDpi="300"/>
  <headerFooter>
    <oddFooter>&amp;LFA-18 | Crest Point Consulting Group&amp;CPage &amp;P of &amp;N&amp;RStrictly Confidential</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FA-01 Payment Voucher (PV)</vt:lpstr>
      <vt:lpstr>FA-02 Receipt Voucher (RV)</vt:lpstr>
      <vt:lpstr>FA-03 Journal Voucher (JV)</vt:lpstr>
      <vt:lpstr>FA-04 Voucher Data Fields</vt:lpstr>
      <vt:lpstr>FA-05 Bank Stmt Import</vt:lpstr>
      <vt:lpstr>FA-06 Bank Reconciliation</vt:lpstr>
      <vt:lpstr>FA-07 Bulk Import</vt:lpstr>
      <vt:lpstr>FA-08 Revenue Recognition</vt:lpstr>
      <vt:lpstr>FA-09 Purchase Budget Check</vt:lpstr>
      <vt:lpstr>FA-10 IC Verification</vt:lpstr>
      <vt:lpstr>FA-11 Correction Request</vt:lpstr>
      <vt:lpstr>FA-12 Fiscal Periods</vt:lpstr>
      <vt:lpstr>FA-13 Period-End Closing</vt:lpstr>
      <vt:lpstr>FA-14 Chart of Accounts</vt:lpstr>
      <vt:lpstr>FA-15 Accounting Entries</vt:lpstr>
      <vt:lpstr>FA-16 Report Standard</vt:lpstr>
      <vt:lpstr>FA-17 Reports Spec</vt:lpstr>
      <vt:lpstr>FA-18 Control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Fayaz Yasini;Crest_Point1</dc:creator>
  <dc:description/>
  <cp:lastModifiedBy>Fayaz Yasini</cp:lastModifiedBy>
  <cp:revision>0</cp:revision>
  <cp:lastPrinted>2026-10-16T12:34:26Z</cp:lastPrinted>
  <dcterms:created xsi:type="dcterms:W3CDTF">2026-10-14T04:37:51Z</dcterms:created>
  <dcterms:modified xsi:type="dcterms:W3CDTF">2026-10-16T12:35:54Z</dcterms:modified>
  <dc:language>en-US</dc:language>
</cp:coreProperties>
</file>