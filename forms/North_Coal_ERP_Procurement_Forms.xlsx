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Fayaz Yasini\Downloads\Forms\"/>
    </mc:Choice>
  </mc:AlternateContent>
  <xr:revisionPtr revIDLastSave="0" documentId="13_ncr:1_{737A5F1E-2A8F-41D9-9ED3-222C7C1BAD73}" xr6:coauthVersionLast="47" xr6:coauthVersionMax="47" xr10:uidLastSave="{00000000-0000-0000-0000-000000000000}"/>
  <bookViews>
    <workbookView xWindow="-96" yWindow="-96" windowWidth="23232" windowHeight="13872" tabRatio="500" xr2:uid="{00000000-000D-0000-FFFF-FFFF00000000}"/>
  </bookViews>
  <sheets>
    <sheet name="Index" sheetId="1" r:id="rId1"/>
    <sheet name="PC-01 Pending Request Queue" sheetId="2" r:id="rId2"/>
    <sheet name="PC-02 Method &amp; Classification" sheetId="3" r:id="rId3"/>
    <sheet name="PC-03 Bid Comparison" sheetId="4" r:id="rId4"/>
    <sheet name="PC-04 PO &amp; Contract" sheetId="5" r:id="rId5"/>
    <sheet name="PC-05 Security Deposit Action" sheetId="6" r:id="rId6"/>
    <sheet name="PC-06 Security Deposit Ledger" sheetId="7" r:id="rId7"/>
    <sheet name="PC-07 Implementation Tracker" sheetId="8" r:id="rId8"/>
    <sheet name="PC-08 Extension Request" sheetId="9" r:id="rId9"/>
    <sheet name="PC-09 Project Handover" sheetId="10" r:id="rId10"/>
    <sheet name="PC-10 IC Verification" sheetId="11" r:id="rId11"/>
    <sheet name="PC-11 Contract Register" sheetId="12" r:id="rId12"/>
    <sheet name="PC-12 Supplier Master" sheetId="13" r:id="rId13"/>
    <sheet name="PC-13 Classifications" sheetId="14" r:id="rId14"/>
    <sheet name="PC-14 Thresholds Config" sheetId="15" r:id="rId15"/>
    <sheet name="PC-15 Correction Request" sheetId="16" r:id="rId16"/>
    <sheet name="PC-16 Approval Matrix" sheetId="17" r:id="rId17"/>
    <sheet name="PC-17 Accounting Entries" sheetId="18" r:id="rId18"/>
    <sheet name="PC-18 Reports Spec" sheetId="19" r:id="rId1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1" i="15" l="1"/>
  <c r="C20" i="15"/>
  <c r="C19" i="15"/>
  <c r="C15" i="15"/>
  <c r="J27" i="12"/>
  <c r="J26" i="12"/>
  <c r="J25" i="12"/>
  <c r="E25" i="12"/>
  <c r="D25" i="12"/>
  <c r="J24" i="12"/>
  <c r="E24" i="12"/>
  <c r="D24" i="12"/>
  <c r="J23" i="12"/>
  <c r="E23" i="12"/>
  <c r="D23" i="12"/>
  <c r="G20" i="12"/>
  <c r="C19" i="11"/>
  <c r="C16" i="11"/>
  <c r="E15" i="11"/>
  <c r="E14" i="11"/>
  <c r="E13" i="11"/>
  <c r="C11" i="9"/>
  <c r="C8" i="9"/>
  <c r="C22" i="8"/>
  <c r="C21" i="8"/>
  <c r="C20" i="8"/>
  <c r="C23" i="8" s="1"/>
  <c r="G16" i="7"/>
  <c r="F16" i="7"/>
  <c r="E16" i="7"/>
  <c r="D16" i="7"/>
  <c r="I15" i="7"/>
  <c r="H15" i="7"/>
  <c r="H16" i="7" s="1"/>
  <c r="I14" i="7"/>
  <c r="H14" i="7"/>
  <c r="I13" i="7"/>
  <c r="H13" i="7"/>
  <c r="I12" i="7"/>
  <c r="H12" i="7"/>
  <c r="I11" i="7"/>
  <c r="H11" i="7"/>
  <c r="I10" i="7"/>
  <c r="H10" i="7"/>
  <c r="I9" i="7"/>
  <c r="H9" i="7"/>
  <c r="I8" i="7"/>
  <c r="H8" i="7"/>
  <c r="H7" i="7"/>
  <c r="I7" i="7" s="1"/>
  <c r="H6" i="7"/>
  <c r="I6" i="7" s="1"/>
  <c r="C17" i="6"/>
  <c r="C16" i="6"/>
  <c r="C15" i="6"/>
  <c r="C20" i="5"/>
  <c r="E16" i="5"/>
  <c r="C13" i="5"/>
  <c r="E11" i="5"/>
  <c r="C10" i="5"/>
  <c r="E20" i="4"/>
  <c r="E21" i="4" s="1"/>
  <c r="F17" i="4"/>
  <c r="E17" i="4"/>
  <c r="F16" i="4"/>
  <c r="E16" i="4"/>
  <c r="E15" i="4"/>
  <c r="F15" i="4" s="1"/>
  <c r="E14" i="4"/>
  <c r="F14" i="4" s="1"/>
  <c r="E13" i="4"/>
  <c r="F13" i="4" s="1"/>
  <c r="F12" i="4"/>
  <c r="E12" i="4"/>
  <c r="C21" i="4" s="1"/>
  <c r="E8" i="4" a="1"/>
  <c r="E8" i="4" s="1"/>
  <c r="C8" i="4"/>
  <c r="E7" i="4"/>
  <c r="C16" i="3"/>
  <c r="C12" i="3"/>
  <c r="C11" i="3"/>
  <c r="E11" i="3" s="1"/>
  <c r="D20" i="2"/>
  <c r="D19" i="2"/>
  <c r="I17" i="2"/>
  <c r="H17" i="2"/>
  <c r="I16" i="2"/>
  <c r="H16" i="2"/>
  <c r="I15" i="2"/>
  <c r="H15" i="2"/>
  <c r="I14" i="2"/>
  <c r="H14" i="2"/>
  <c r="I13" i="2"/>
  <c r="H13" i="2"/>
  <c r="I12" i="2"/>
  <c r="H12" i="2"/>
  <c r="I11" i="2"/>
  <c r="H11" i="2"/>
  <c r="I10" i="2"/>
  <c r="H10" i="2"/>
  <c r="H9" i="2"/>
  <c r="I9" i="2" s="1"/>
  <c r="H8" i="2"/>
  <c r="I8" i="2" s="1"/>
  <c r="H7" i="2"/>
  <c r="I7" i="2" s="1"/>
  <c r="H6" i="2"/>
  <c r="I6" i="2" s="1"/>
  <c r="C23" i="4" l="1"/>
</calcChain>
</file>

<file path=xl/sharedStrings.xml><?xml version="1.0" encoding="utf-8"?>
<sst xmlns="http://schemas.openxmlformats.org/spreadsheetml/2006/main" count="964" uniqueCount="618">
  <si>
    <t>NORTH COAL STATE OWNED CORPORATION</t>
  </si>
  <si>
    <t>ERP FORMS &amp; STANDARD TEMPLATES - PROCUREMENT MODULE</t>
  </si>
  <si>
    <t>Developer pack accompanying the approved System Architecture &amp; BPR Report (20 September 2026)  |  Prepared by Crest Point Consulting Group  |  Version 1.0</t>
  </si>
  <si>
    <t>COLOUR LEGEND</t>
  </si>
  <si>
    <t>Yellow</t>
  </si>
  <si>
    <t>Field entered by a user (blue text = example data shown for illustration)</t>
  </si>
  <si>
    <t>Grey</t>
  </si>
  <si>
    <t>Auto-populated / auto-calculated by the system</t>
  </si>
  <si>
    <t>Light grey</t>
  </si>
  <si>
    <t>Not applicable on this form</t>
  </si>
  <si>
    <t>Navy</t>
  </si>
  <si>
    <t>Section / column headers and signature-block titles</t>
  </si>
  <si>
    <t>Form Code</t>
  </si>
  <si>
    <t>Sheet (click to open)</t>
  </si>
  <si>
    <t>Purpose</t>
  </si>
  <si>
    <t>Source in approved report</t>
  </si>
  <si>
    <t>PC-01</t>
  </si>
  <si>
    <t>PC-01 Pending Request Queue</t>
  </si>
  <si>
    <t>Queue of approved purchase requests with the ED approval gate</t>
  </si>
  <si>
    <t>4.6.2 Purchase Request Receipt</t>
  </si>
  <si>
    <t>PC-02</t>
  </si>
  <si>
    <t>PC-02 Method &amp; Classification</t>
  </si>
  <si>
    <t>Procurement method and classification record</t>
  </si>
  <si>
    <t>4.6.2 Procurement Method Selection</t>
  </si>
  <si>
    <t>PC-03</t>
  </si>
  <si>
    <t>PC-03 Bid Comparison</t>
  </si>
  <si>
    <t>Competing bids and mandatory selection justification</t>
  </si>
  <si>
    <t>4.6.2 Bid Tracking and Supplier Selection Justification</t>
  </si>
  <si>
    <t>PC-04</t>
  </si>
  <si>
    <t>PC-04 PO &amp; Contract</t>
  </si>
  <si>
    <t>Purchase order / contract record with deadline, alerts and deposit flag</t>
  </si>
  <si>
    <t>4.6.2 Purchase Order &amp; Contract Recording</t>
  </si>
  <si>
    <t>PC-05</t>
  </si>
  <si>
    <t>PC-05 Security Deposit Action</t>
  </si>
  <si>
    <t>Deposit receipt, refund authorization and forfeiture</t>
  </si>
  <si>
    <t>4.6.2 Supplier Security Deposit Management</t>
  </si>
  <si>
    <t>PC-06</t>
  </si>
  <si>
    <t>PC-06 Security Deposit Ledger</t>
  </si>
  <si>
    <t>Active, refunded and forfeited deposits</t>
  </si>
  <si>
    <t>4.6.2; 4.6.4 Reports</t>
  </si>
  <si>
    <t>PC-07</t>
  </si>
  <si>
    <t>PC-07 Implementation Tracker</t>
  </si>
  <si>
    <t>Implementation % tracker with deadline alerts and Overdue / Breached flag</t>
  </si>
  <si>
    <t>4.6.2 Project Implementation Tracking</t>
  </si>
  <si>
    <t>PC-08</t>
  </si>
  <si>
    <t>PC-08 Extension Request</t>
  </si>
  <si>
    <t>Formal contract extension with mandatory justification</t>
  </si>
  <si>
    <t>4.6.2 Contract Extension Workflow</t>
  </si>
  <si>
    <t>PC-09</t>
  </si>
  <si>
    <t>PC-09 Project Handover</t>
  </si>
  <si>
    <t>Completion / handover record for non-goods contracts</t>
  </si>
  <si>
    <t>4.6.2 Goods Delivery, Project Handover</t>
  </si>
  <si>
    <t>PC-10</t>
  </si>
  <si>
    <t>PC-10 IC Verification</t>
  </si>
  <si>
    <t>Mandatory IC verify / reject at GRN or Handover</t>
  </si>
  <si>
    <t>4.6.2 IC Verification Gate; Workflow 4</t>
  </si>
  <si>
    <t>PC-11</t>
  </si>
  <si>
    <t>PC-11 Contract Register</t>
  </si>
  <si>
    <t>Register layout with summaries by method and status</t>
  </si>
  <si>
    <t>4.6.4 Required Reports</t>
  </si>
  <si>
    <t>PC-12</t>
  </si>
  <si>
    <t>PC-12 Supplier Master</t>
  </si>
  <si>
    <t>Supplier master with blacklist flag (addition)</t>
  </si>
  <si>
    <t>4.6.1 pain point - not in To-Be</t>
  </si>
  <si>
    <t>PC-13</t>
  </si>
  <si>
    <t>PC-13 Classifications</t>
  </si>
  <si>
    <t>Procurement classification settings</t>
  </si>
  <si>
    <t>4.6.2 Procurement Classification</t>
  </si>
  <si>
    <t>PC-14</t>
  </si>
  <si>
    <t>PC-14 Thresholds Config</t>
  </si>
  <si>
    <t>Procurement thresholds and authority limits with test calculator</t>
  </si>
  <si>
    <t>4.6.1 As-Is thresholds; 4.6.2</t>
  </si>
  <si>
    <t>PC-15</t>
  </si>
  <si>
    <t>PC-15 Correction Request</t>
  </si>
  <si>
    <t>Standard officer correction request (Procurement)</t>
  </si>
  <si>
    <t>4.6.2 Officer Correction Request Workflow</t>
  </si>
  <si>
    <t>PC-16</t>
  </si>
  <si>
    <t>PC-16 Approval Matrix</t>
  </si>
  <si>
    <t>Who prepares, approves and verifies each form</t>
  </si>
  <si>
    <t>4.6.3 System Roles and Access Permissions</t>
  </si>
  <si>
    <t>PC-17</t>
  </si>
  <si>
    <t>PC-17 Accounting Entries</t>
  </si>
  <si>
    <t>Deposit, goods received and payment entries</t>
  </si>
  <si>
    <t>4.6.4 Accounting Entries</t>
  </si>
  <si>
    <t>PC-18</t>
  </si>
  <si>
    <t>PC-18 Reports Spec</t>
  </si>
  <si>
    <t>Required procurement reports and filters</t>
  </si>
  <si>
    <t>DESIGN RULES THAT APPLY TO EVERY FORM</t>
  </si>
  <si>
    <t>1. Single currency: Afghan Afghani (AFN) only.</t>
  </si>
  <si>
    <t>2. The ERP does NOT run the procurement procedures: supplier selection, tendering, quotations and negotiation happen in hard copy outside the ERP and are referenced by document number. The ERP records the method, classification, bids, contract, deadlines, deposits and handover.</t>
  </si>
  <si>
    <t>3. No purchase request is accessible to Procurement until the ED physical approval confirmation is recorded; requests without it stay in Pending ED Approval.</t>
  </si>
  <si>
    <t>4. Internal Control verification is positioned strictly at the GRN or Project Handover stage; IC is otherwise read-only. Procurement forms therefore carry a "Verified by" block only on the handover and IC records.</t>
  </si>
  <si>
    <t>5. The Executive Director and Directors have no system access; their approvals are physical and recorded by department staff. No ED / Director signature block appears on any printed form.</t>
  </si>
  <si>
    <t>6. Officers can never edit or delete a submitted entry; corrections follow PC-15. Every action is written to the Control Log (layout FA-18 in the Finance workbook), which no user can alter.</t>
  </si>
  <si>
    <t>7. Names, references, values and thresholds in these sheets are illustrative examples; threshold values come from the As-Is analysis and must be confirmed.</t>
  </si>
  <si>
    <t>[Corporation logo]</t>
  </si>
  <si>
    <t>PENDING PURCHASE REQUESTS QUEUE (ED APPROVAL GATE)</t>
  </si>
  <si>
    <t>Real-time queue - a request is accessible to Procurement only after the ED physical approval confirmation is recorded</t>
  </si>
  <si>
    <t>Purchase Request Ref.</t>
  </si>
  <si>
    <t>Requesting Department</t>
  </si>
  <si>
    <t>Item Description and Quantity Required</t>
  </si>
  <si>
    <t>Date of Request</t>
  </si>
  <si>
    <t>Dept Head Approval</t>
  </si>
  <si>
    <t>Director Physical Approval Recorded</t>
  </si>
  <si>
    <t>ED Physical Approval Confirmation Recorded</t>
  </si>
  <si>
    <t>Queue Status (auto)</t>
  </si>
  <si>
    <t>Accessible to Procurement Officer?</t>
  </si>
  <si>
    <t>PR-2026-0312</t>
  </si>
  <si>
    <t>Inventory &amp; Warehouse</t>
  </si>
  <si>
    <t>Diesel fuel - generators; 10,000 litres</t>
  </si>
  <si>
    <t>Approved</t>
  </si>
  <si>
    <t>Yes</t>
  </si>
  <si>
    <t>PR-2026-0318</t>
  </si>
  <si>
    <t>Properties</t>
  </si>
  <si>
    <t>Roof repair materials - Block A; 1 lot</t>
  </si>
  <si>
    <t>No</t>
  </si>
  <si>
    <t>PR-2026-0321</t>
  </si>
  <si>
    <t>Administration</t>
  </si>
  <si>
    <t>Office chairs; 20 pieces</t>
  </si>
  <si>
    <t>PR-2026-0325</t>
  </si>
  <si>
    <t>Finance</t>
  </si>
  <si>
    <t>Laptop computers; 3 pieces</t>
  </si>
  <si>
    <t>Requests in active queue</t>
  </si>
  <si>
    <t>Requests held - Pending ED Approval</t>
  </si>
  <si>
    <t>NOTES FOR DEVELOPERS</t>
  </si>
  <si>
    <t>1. Each request arrives with a notification and shows: reference, requesting department, item description and quantity, date of request, Department Head / Director approval status and ED approval status.</t>
  </si>
  <si>
    <t>2. System gate: requests without the recorded ED physical approval confirmation are held in "Pending ED Approval" status and are NOT accessible to the Procurement Officer.</t>
  </si>
  <si>
    <t>3. The Inventory section (4.2) lists only Department Head and Director approval before transfer, while this section requires the ED confirmation and the Finance section adds a budget check (FA-09). Confirm the single approval chain; the As-Is pain point "cumbersome pre-procurement approvals" is not reduced by the To-Be as written.</t>
  </si>
  <si>
    <t>4. The Executive Director and Directors have no system access. Their purchase approval is obtained physically outside the ERP and recorded by department staff BEFORE the request reaches Procurement; no ED / Director signature block appears on these forms.</t>
  </si>
  <si>
    <t>PROCUREMENT METHOD AND CLASSIFICATION RECORD</t>
  </si>
  <si>
    <t>Form PC-02  |  Version 1.0  |  Recorded by the Procurement Officer; the procurement procedures themselves run in hard copy outside the ERP</t>
  </si>
  <si>
    <t>A. REQUEST AND METHOD</t>
  </si>
  <si>
    <t>Item Description and Quantity</t>
  </si>
  <si>
    <t>Estimated Value (AFN)</t>
  </si>
  <si>
    <t>Procurement Method</t>
  </si>
  <si>
    <t>Quotation-Based</t>
  </si>
  <si>
    <t>Procurement Classification</t>
  </si>
  <si>
    <t>Goods</t>
  </si>
  <si>
    <t>B. THRESHOLD CHECKS (see PC-14)</t>
  </si>
  <si>
    <t>Threshold-Suggested Method</t>
  </si>
  <si>
    <t>Method Consistent with Threshold?</t>
  </si>
  <si>
    <t>Approving Authority by Value</t>
  </si>
  <si>
    <t>Authority Approval Ref. (if above ED limit)
(addition - see note 3)</t>
  </si>
  <si>
    <t>(not required at this value)</t>
  </si>
  <si>
    <t>C. DOCUMENTS</t>
  </si>
  <si>
    <t>Hard-Copy Document Ref.
(tender / quotation file)</t>
  </si>
  <si>
    <t>PROC-HC-2026-0188</t>
  </si>
  <si>
    <t>Recorded By (Procurement Officer)</t>
  </si>
  <si>
    <t>PRC-OFF-01</t>
  </si>
  <si>
    <t>Next Step</t>
  </si>
  <si>
    <t>RECORDED BY
(Procurement Officer)</t>
  </si>
  <si>
    <t>Name:</t>
  </si>
  <si>
    <t>Position:</t>
  </si>
  <si>
    <t>Signature:</t>
  </si>
  <si>
    <t>Date:</t>
  </si>
  <si>
    <t>1. Methods: Tender (high value), Quotation-Based (minimum three quotations, medium value), Direct Purchase (single supplier, low value). Classification defaults: Goods, Consultancy, Non-Consultancy, Construction; the Procurement Head can add, edit or disable classes (PC-13).</t>
  </si>
  <si>
    <t>2. The approved report says thresholds are "defined" but gives no figures; PC-14 uses the As-Is values (quotations above AFN 20,000, ED authority to 5M, General Directorate to 35M, above that the National Procurement Authority). The consistency check is a suggested control, not an approved feature.</t>
  </si>
  <si>
    <t>3. ADDITION TO CONFIRM: contracts above the ED limit need General Directorate or National Procurement Authority approval, but the To-Be records only the ED approval. The authority approval reference field is added to trace that hard-copy approval.</t>
  </si>
  <si>
    <t>4. All tendering, quotation collection, evaluation and negotiation stay in hard copy outside the ERP and are referenced by document number.</t>
  </si>
  <si>
    <t>BID COMPARISON AND SELECTION JUSTIFICATION</t>
  </si>
  <si>
    <t>Form PC-03  |  Version 1.0  |  Mandatory for Tender and Quotation-Based purchases before the purchase order is finalized</t>
  </si>
  <si>
    <t>A. REFERENCE</t>
  </si>
  <si>
    <t>Classification</t>
  </si>
  <si>
    <t>Minimum Bids Required (see note 2)</t>
  </si>
  <si>
    <t>Number of Bids Recorded</t>
  </si>
  <si>
    <t>Lowest Eligible Bid (AFN)
(Active suppliers only)</t>
  </si>
  <si>
    <t>B. COMPETING BIDS</t>
  </si>
  <si>
    <t>No.</t>
  </si>
  <si>
    <t>Supplier Name</t>
  </si>
  <si>
    <t>Bid Price (AFN)</t>
  </si>
  <si>
    <t>Hard-Copy Document Ref.</t>
  </si>
  <si>
    <t>Supplier Status (auto)</t>
  </si>
  <si>
    <t>Price Rank (eligible)</t>
  </si>
  <si>
    <t>Example Supplier Co.</t>
  </si>
  <si>
    <t>PROC-HC-2026-0188/1</t>
  </si>
  <si>
    <t>Example Supplier B</t>
  </si>
  <si>
    <t>PROC-HC-2026-0188/2</t>
  </si>
  <si>
    <t>Example Supplier C</t>
  </si>
  <si>
    <t>PROC-HC-2026-0188/3</t>
  </si>
  <si>
    <t>Example Barred Co.</t>
  </si>
  <si>
    <t>PROC-HC-2026-0188/4</t>
  </si>
  <si>
    <t>C. SELECTION AND JUSTIFICATION</t>
  </si>
  <si>
    <t>Winning Supplier</t>
  </si>
  <si>
    <t>Winning Bid Price (AFN)</t>
  </si>
  <si>
    <t>Winning Supplier Status</t>
  </si>
  <si>
    <t>Winner is the Lowest Bid?</t>
  </si>
  <si>
    <t>Written Justification
(mandatory)</t>
  </si>
  <si>
    <t>Lowest evaluated price and full technical compliance with the fuel specification. EXAMPLE DATA.</t>
  </si>
  <si>
    <t>Gate Result</t>
  </si>
  <si>
    <t>1. The Officer records competing supplier names and submitted bid prices (AFN) and a mandatory written justification for the winning selection (e.g. lowest evaluated price, technical compliance). The system stores and displays this for transparency and audit visibility.</t>
  </si>
  <si>
    <t>2. The approved report requires "minimum three quotations" for Quotation-Based purchases; it gives no minimum for Tenders (PC-14 parameter applies to both until confirmed).</t>
  </si>
  <si>
    <t>3. ADDITION TO CONFIRM: the As-Is pain point "no vendor management system to flag blacklisted or barred companies" has no feature in the To-Be. The Supplier Status column and winner-eligibility check use the supplier master in PC-12 to cover it. Example Barred Co. shows a blacklisted bidder.</t>
  </si>
  <si>
    <t>PURCHASE ORDER / CONTRACT RECORD</t>
  </si>
  <si>
    <t>Form PC-04  |  Version 1.0  |  Drafted by the Procurement Officer; approved by the Procurement Department Head; sent to the supplier in hard copy</t>
  </si>
  <si>
    <t>A. ORDER DETAILS</t>
  </si>
  <si>
    <t>PO / Contract Ref.
(auto, sequential)</t>
  </si>
  <si>
    <t>PO-2026-0051</t>
  </si>
  <si>
    <t>Date of Purchase Order (system date)</t>
  </si>
  <si>
    <t>Purchase Request Ref.
(linked)</t>
  </si>
  <si>
    <t>Item / Project Description
(from approved request)</t>
  </si>
  <si>
    <t>Diesel fuel - generators</t>
  </si>
  <si>
    <t>Quantity Approved in Request</t>
  </si>
  <si>
    <t>Quantity Ordered</t>
  </si>
  <si>
    <t>Quantity Variance (auto)</t>
  </si>
  <si>
    <t>Variance Note
(mandatory if variance is not 0)</t>
  </si>
  <si>
    <t>Unit Price (AFN)</t>
  </si>
  <si>
    <t>Total Value (AFN)
Quantity x Unit Price</t>
  </si>
  <si>
    <t>Contract Deadline / Completion Date</t>
  </si>
  <si>
    <t>Custom Notification Threshold (days before deadline)</t>
  </si>
  <si>
    <t>Alert Date (auto)</t>
  </si>
  <si>
    <t>Delivery / Project Location</t>
  </si>
  <si>
    <t>HQ Store</t>
  </si>
  <si>
    <t>Security Deposit Required?</t>
  </si>
  <si>
    <t>Required Deposit Amount (AFN)</t>
  </si>
  <si>
    <t>ED / Director Approval Ref.
(auto-linked from request)</t>
  </si>
  <si>
    <t>DIR-APR-2026-0449</t>
  </si>
  <si>
    <t>Status</t>
  </si>
  <si>
    <t>Raised</t>
  </si>
  <si>
    <t>Check</t>
  </si>
  <si>
    <t>B. APPROVAL</t>
  </si>
  <si>
    <t>Procurement Dept Head Decision</t>
  </si>
  <si>
    <t>Decision Date</t>
  </si>
  <si>
    <t>Result</t>
  </si>
  <si>
    <t>PREPARED BY
(Procurement Officer)</t>
  </si>
  <si>
    <t>APPROVED BY
(Procurement Department Head)</t>
  </si>
  <si>
    <t>1. Status path: Raised -&gt; Sent to Supplier -&gt; Goods Received (set automatically when the Inventory GRN is confirmed) -&gt; Completed (set automatically after IC verification). The Tracker may also flag a contract Overdue / Breached (PC-07).</t>
  </si>
  <si>
    <t>2. Quantity comes from the approved request; any variance must be noted. Total value is auto-calculated and not editable. The custom notification threshold (e.g. 1 week, 2 months) drives the deadline alert.</t>
  </si>
  <si>
    <t>3. Supplier Security Deposit: when "Yes" the required amount is recorded here and tracked through PC-05 / PC-06. ED approval is auto-linked from the purchase request.</t>
  </si>
  <si>
    <t>SUPPLIER SECURITY DEPOSIT - RECEIPT, REFUND, FORFEITURE</t>
  </si>
  <si>
    <t>Form PC-05  |  Version 1.0  |  Refund and forfeiture are authorized by the Procurement Department Head; Finance processes</t>
  </si>
  <si>
    <t>A. DETAILS</t>
  </si>
  <si>
    <t>Action Record No.</t>
  </si>
  <si>
    <t>SDA-2026-000011</t>
  </si>
  <si>
    <t>Date</t>
  </si>
  <si>
    <t>Contract Ref.</t>
  </si>
  <si>
    <t>CT-2026-009</t>
  </si>
  <si>
    <t>Supplier</t>
  </si>
  <si>
    <t>Example Consultant Ltd</t>
  </si>
  <si>
    <t>Action</t>
  </si>
  <si>
    <t>Refund authorization</t>
  </si>
  <si>
    <t>Amount (AFN)</t>
  </si>
  <si>
    <t>Deposit Required per Contract (AFN)</t>
  </si>
  <si>
    <t>Deposit Held Before Action (AFN)</t>
  </si>
  <si>
    <t>Procurement Head Decision
(refund / forfeiture)</t>
  </si>
  <si>
    <t>Finance Processing Ref.
(bank reconciliation / PV)</t>
  </si>
  <si>
    <t>PV-000131</t>
  </si>
  <si>
    <t>Processed By (Finance Officer)</t>
  </si>
  <si>
    <t>FIN-OFF-02</t>
  </si>
  <si>
    <t>Reason / Breach Description
(mandatory for forfeiture)</t>
  </si>
  <si>
    <t>Contract successfully completed; handover verified by IC. EXAMPLE DATA.</t>
  </si>
  <si>
    <t>B. AUTOMATIC ENTRY AND CHECKS</t>
  </si>
  <si>
    <t>Accounting Entry</t>
  </si>
  <si>
    <t>Amount Check</t>
  </si>
  <si>
    <t>Posting Status</t>
  </si>
  <si>
    <t>AUTHORIZED BY
(Procurement Department Head)</t>
  </si>
  <si>
    <t>PROCESSED BY
(Finance Officer)</t>
  </si>
  <si>
    <t>1. Receipt: supplier pays into the corporate bank account; the Finance Officer confirms the deposit in bank reconciliation and links it to the specific contract. No Head authorization is needed for receipt.</t>
  </si>
  <si>
    <t>2. Refund: after successful completion the Head authorizes release and Finance processes the payment. Forfeiture: on supplier breach the Head authorizes and the system recognizes the penalty as Other Income.</t>
  </si>
  <si>
    <t>3. Deposits are held as Current Liabilities; forfeitures accrue to Other Income without manual Finance journals.</t>
  </si>
  <si>
    <t>SUPPLIER SECURITY DEPOSIT LEDGER</t>
  </si>
  <si>
    <t>Report layout - active, refunded and forfeited deposits (forfeitures transferred to Other Income)</t>
  </si>
  <si>
    <t>Description</t>
  </si>
  <si>
    <t>Deposit Required (AFN)</t>
  </si>
  <si>
    <t>Received (AFN)</t>
  </si>
  <si>
    <t>Refunded (AFN)</t>
  </si>
  <si>
    <t>Forfeited to Other Income (AFN)</t>
  </si>
  <si>
    <t>Balance Held (AFN)</t>
  </si>
  <si>
    <t>Status (auto)</t>
  </si>
  <si>
    <t>CT-2026-014</t>
  </si>
  <si>
    <t>Construction - warehouse extension</t>
  </si>
  <si>
    <t>Consultancy - safety study</t>
  </si>
  <si>
    <t>CT-2026-003</t>
  </si>
  <si>
    <t>Goods - spare parts</t>
  </si>
  <si>
    <t>Goods - diesel fuel</t>
  </si>
  <si>
    <t>TOTAL</t>
  </si>
  <si>
    <t>1. Deposits held are Current Liabilities (Dr Bank / Cr Supplier Security Deposit); refunds clear the liability; forfeitures move it to Other Income. Balance Held = Received - Refunded - Forfeited.</t>
  </si>
  <si>
    <t>2. The deposit received for CT-2026-014 matches the AFN 150,000 "supplier security deposit" example in the Finance bank reconciliation sheet (FA-06).</t>
  </si>
  <si>
    <t>PROJECT IMPLEMENTATION TRACKER AND DEADLINE ALERTS</t>
  </si>
  <si>
    <t>Form PC-07  |  Version 1.0  |  Large contracts (Construction, Consultancy) - updated by the Procurement Officer</t>
  </si>
  <si>
    <t>Supplier / Contractor</t>
  </si>
  <si>
    <t>Contract Deadline</t>
  </si>
  <si>
    <t>Notification Threshold (days before deadline)</t>
  </si>
  <si>
    <t>Report As-of Date</t>
  </si>
  <si>
    <t>Construction</t>
  </si>
  <si>
    <t>Update Date</t>
  </si>
  <si>
    <t>Implementation %</t>
  </si>
  <si>
    <t>Basis (physical site report / milestone certificate ref.)</t>
  </si>
  <si>
    <t>Updated By</t>
  </si>
  <si>
    <t>Comment</t>
  </si>
  <si>
    <t>Site report SR-2026-031</t>
  </si>
  <si>
    <t>Site report SR-2026-044</t>
  </si>
  <si>
    <t>Milestone certificate MC-2026-006</t>
  </si>
  <si>
    <t>Milestone certificate MC-2026-007</t>
  </si>
  <si>
    <t>TRACKER SUMMARY (auto)</t>
  </si>
  <si>
    <t>Latest Implementation %</t>
  </si>
  <si>
    <t>Days to Deadline</t>
  </si>
  <si>
    <t>Alert Date</t>
  </si>
  <si>
    <t>Contract Status</t>
  </si>
  <si>
    <t>UPDATED BY
(Procurement Officer)</t>
  </si>
  <si>
    <t>ALERTS RECEIVED BY
(Procurement Department Head)</t>
  </si>
  <si>
    <t>1. The Officer periodically updates the implementation % (e.g. 25%, 50%, 75%) from physical site reports or milestone certificates. Automated alerts go to the Procurement Officer and Head when the deadline is near and the % is below 100%; a passed deadline flags the contract Overdue / Breached.</t>
  </si>
  <si>
    <t>2. The alert threshold is the custom value set on the purchase order (PC-04). A formally approved extension (PC-08) updates the deadline and resets the alerts.</t>
  </si>
  <si>
    <t>CONTRACT EXTENSION REQUEST</t>
  </si>
  <si>
    <t>Form PC-08  |  Version 1.0  |  Initiated by the Procurement Officer; approved by the Procurement Department Head</t>
  </si>
  <si>
    <t>Extension Request No.</t>
  </si>
  <si>
    <t>EXT-2026-000007</t>
  </si>
  <si>
    <t>Date Raised</t>
  </si>
  <si>
    <t>Current Contract Deadline</t>
  </si>
  <si>
    <t>Proposed New Deadline</t>
  </si>
  <si>
    <t>Extension Requested (days)</t>
  </si>
  <si>
    <t>Implementation % at Request</t>
  </si>
  <si>
    <t>Winter weather delays to concrete works; supplier requests 31 days. EXAMPLE DATA.</t>
  </si>
  <si>
    <t>Procurement Head Decision</t>
  </si>
  <si>
    <t>System Result</t>
  </si>
  <si>
    <t>REQUESTED BY
(Procurement Officer)</t>
  </si>
  <si>
    <t>1. Formal extension workflow: Officer enters the proposed new deadline and a mandatory written justification -&gt; request goes to the Head -&gt; on approval the system updates the contract deadline and resets the automated alerts. Every step is in the Control Log (FA-18).</t>
  </si>
  <si>
    <t>PROJECT COMPLETION / HANDOVER RECORD (NON-GOODS CONTRACTS)</t>
  </si>
  <si>
    <t>Form PC-09  |  Version 1.0  |  Recorded by Requesting Department staff for Consultancy / Construction / services</t>
  </si>
  <si>
    <t>A. HANDOVER DETAILS</t>
  </si>
  <si>
    <t>Handover Record No.</t>
  </si>
  <si>
    <t>PH-2026-000009</t>
  </si>
  <si>
    <t>Date Recorded</t>
  </si>
  <si>
    <t>Supplier / Consultant</t>
  </si>
  <si>
    <t>Consultancy</t>
  </si>
  <si>
    <t>Planning &amp; Policy</t>
  </si>
  <si>
    <t>Project / Service Description</t>
  </si>
  <si>
    <t>Mine safety consultancy study - final report delivered. EXAMPLE DATA.</t>
  </si>
  <si>
    <t>Completion Date</t>
  </si>
  <si>
    <t>Implementation % at Handover</t>
  </si>
  <si>
    <t>Completion / Milestone Certificate Ref.</t>
  </si>
  <si>
    <t>MC-2026-011</t>
  </si>
  <si>
    <t>Supplier Invoice Ref.</t>
  </si>
  <si>
    <t>INV-C-0231</t>
  </si>
  <si>
    <t>Contract Value (AFN)</t>
  </si>
  <si>
    <t>Supplier Invoice Amount (AFN)</t>
  </si>
  <si>
    <t>Recorded By (Requesting Dept staff)</t>
  </si>
  <si>
    <t>PLN-OFF-02</t>
  </si>
  <si>
    <t>Pending IC verification</t>
  </si>
  <si>
    <t>Routed to Internal Control for mandatory verification (PC-10) before any accounting entry is posted or payment cleared.</t>
  </si>
  <si>
    <t>PREPARED BY
(Requesting Department Staff)</t>
  </si>
  <si>
    <t>REVIEWED BY
(Requesting Department Head)</t>
  </si>
  <si>
    <t>VERIFIED BY
(Internal Control &amp; Audit)</t>
  </si>
  <si>
    <t>1. For non-goods contracts the requesting department - not Procurement - records the completion or handover. Goods are received by the Inventory department through the GRN (IN-05).</t>
  </si>
  <si>
    <t>2. If Internal Control rejects, the Requesting Department Head unlocks the record, the staff corrects it and resubmits, the Head re-approves and it returns to IC.</t>
  </si>
  <si>
    <t>3. Name, position and date may be pre-filled by the system from the Control Log; signatures are by hand so the printed form can be archived in the hard file.</t>
  </si>
  <si>
    <t>INTERNAL CONTROL VERIFICATION - GRN OR PROJECT HANDOVER</t>
  </si>
  <si>
    <t>Form PC-10  |  Version 1.0  |  The only mandatory IC gate in the Procurement module (goods version also at IN-06)</t>
  </si>
  <si>
    <t>Verification No.</t>
  </si>
  <si>
    <t>ICV-2026-000445</t>
  </si>
  <si>
    <t>Date Received by IC</t>
  </si>
  <si>
    <t>Document Type</t>
  </si>
  <si>
    <t>Project Handover</t>
  </si>
  <si>
    <t>Document Ref.</t>
  </si>
  <si>
    <t>PO / Contract Ref.</t>
  </si>
  <si>
    <t>Re-verification Round</t>
  </si>
  <si>
    <t>1</t>
  </si>
  <si>
    <t>Value Delivered / Completed (AFN)</t>
  </si>
  <si>
    <t>Physical Delivery / Completion Confirmed by IC?</t>
  </si>
  <si>
    <t>VERIFICATION CHECKS (system-assisted)</t>
  </si>
  <si>
    <t>IC Comment</t>
  </si>
  <si>
    <t>Delivered goods / completed milestones exactly match the physical reality</t>
  </si>
  <si>
    <t>Delivered / completed value exactly matches the supplier invoice</t>
  </si>
  <si>
    <t>Delivery / completion is consistent with the approved contract terms (value within contract)</t>
  </si>
  <si>
    <t>Outcome (system rule)</t>
  </si>
  <si>
    <t>Final Outcome (IC decision)</t>
  </si>
  <si>
    <t>Verified</t>
  </si>
  <si>
    <t>IC Comments
(mandatory if Rejected)</t>
  </si>
  <si>
    <t>If Rejected</t>
  </si>
  <si>
    <t>If Verified</t>
  </si>
  <si>
    <t>PO / contract status -&gt; Completed; system posts Dr Relevant Expense or Fixed Asset Account / Cr Accounts Payable; Finance receives the "Awaiting Payment" notification for the final supplier payment.</t>
  </si>
  <si>
    <t>PREPARED BY
(Inventory Officer / Requesting Dept Staff)</t>
  </si>
  <si>
    <t>REVIEWED BY
(Receiving Department Head)</t>
  </si>
  <si>
    <t>1. IC verifies physical delivery / project completion against the supplier invoice and the approved contract terms. Read-only access; Verify or Reject only, comments mandatory on rejection; every outcome goes to the Control Log (FA-18).</t>
  </si>
  <si>
    <t>2. Where goods are received through a GRN, the same verification is shown in IN-06 and the Procurement module simply follows the resulting status.</t>
  </si>
  <si>
    <t>PURCHASE ORDER / CONTRACT REGISTER</t>
  </si>
  <si>
    <t>Report layout - status of every purchase order and contract</t>
  </si>
  <si>
    <t>Date Range</t>
  </si>
  <si>
    <t>01-Jan-2026 to 31-Oct-2026</t>
  </si>
  <si>
    <t>Generated On / By</t>
  </si>
  <si>
    <t>14-Oct-2026 10:15 / PRC-HEAD-01</t>
  </si>
  <si>
    <t>Method</t>
  </si>
  <si>
    <t>Total Value (AFN)</t>
  </si>
  <si>
    <t>Delivery Location</t>
  </si>
  <si>
    <t>PO-2026-0045</t>
  </si>
  <si>
    <t>PR-2026-0298</t>
  </si>
  <si>
    <t>Goods Received</t>
  </si>
  <si>
    <t>Sent to Supplier</t>
  </si>
  <si>
    <t>PR-2026-0187</t>
  </si>
  <si>
    <t>Tender</t>
  </si>
  <si>
    <t>HQ</t>
  </si>
  <si>
    <t>PR-2026-0120</t>
  </si>
  <si>
    <t>Completed</t>
  </si>
  <si>
    <t>PR-2026-0044</t>
  </si>
  <si>
    <t>Second Unit A</t>
  </si>
  <si>
    <t>Overdue / Breached</t>
  </si>
  <si>
    <t>TOTAL VALUE (AFN)</t>
  </si>
  <si>
    <t>SUMMARY BY METHOD</t>
  </si>
  <si>
    <t>Number</t>
  </si>
  <si>
    <t>SUMMARY BY STATUS</t>
  </si>
  <si>
    <t>Direct Purchase</t>
  </si>
  <si>
    <t>1. Supports the reports on purchases by method (number and value), by classification, by supplier, by requesting department and by delivery location, and the status of all active purchase orders and contracts.</t>
  </si>
  <si>
    <t>2. The four statuses in the approved design are Raised / Sent to Supplier / Goods Received / Completed; "Overdue / Breached" is the tracker flag from PC-07 and is shown here as a fifth status - confirm.</t>
  </si>
  <si>
    <t>SUPPLIER MASTER AND BLACKLIST REGISTER</t>
  </si>
  <si>
    <t>Addition to the approved design - covers the "no vendor management system" pain point</t>
  </si>
  <si>
    <t>ADDITION TO CONFIRM: the As-Is pain point asks for a database that records and flags blacklisted or barred companies, but the To-Be has no such feature. This layout is proposed; bid and winner eligibility checks in PC-03 read from it.</t>
  </si>
  <si>
    <t>Supplier ID</t>
  </si>
  <si>
    <t>Contact Person</t>
  </si>
  <si>
    <t>Phone</t>
  </si>
  <si>
    <t>Address</t>
  </si>
  <si>
    <t>Reason / Hard-Copy Reference</t>
  </si>
  <si>
    <t>SUP-0001</t>
  </si>
  <si>
    <t>Example Contact 1</t>
  </si>
  <si>
    <t>+93 700 000 011</t>
  </si>
  <si>
    <t>Example address, Kabul</t>
  </si>
  <si>
    <t>Active</t>
  </si>
  <si>
    <t>SUP-0002</t>
  </si>
  <si>
    <t>Example Contact 2</t>
  </si>
  <si>
    <t>+93 700 000 012</t>
  </si>
  <si>
    <t>SUP-0003</t>
  </si>
  <si>
    <t>Example Contact 3</t>
  </si>
  <si>
    <t>+93 700 000 013</t>
  </si>
  <si>
    <t>Example address, Herat</t>
  </si>
  <si>
    <t>SUP-0004</t>
  </si>
  <si>
    <t>Example Contact 4</t>
  </si>
  <si>
    <t>+93 700 000 014</t>
  </si>
  <si>
    <t>Example address, Kandahar</t>
  </si>
  <si>
    <t>Blacklisted</t>
  </si>
  <si>
    <t>Barred by decree DEC-2025-114 (example)</t>
  </si>
  <si>
    <t>PRC-HEAD-01</t>
  </si>
  <si>
    <t>SUP-0005</t>
  </si>
  <si>
    <t>Example Contact 5</t>
  </si>
  <si>
    <t>+93 700 000 015</t>
  </si>
  <si>
    <t>PROCUREMENT CLASSIFICATION SETTINGS</t>
  </si>
  <si>
    <t>Maintained by the Procurement Department Head in system settings</t>
  </si>
  <si>
    <t>Type</t>
  </si>
  <si>
    <t>Changed On</t>
  </si>
  <si>
    <t>Changed By</t>
  </si>
  <si>
    <t>Default</t>
  </si>
  <si>
    <t>System</t>
  </si>
  <si>
    <t>Non-Consultancy</t>
  </si>
  <si>
    <t>Equipment Lease (example)</t>
  </si>
  <si>
    <t>Custom</t>
  </si>
  <si>
    <t>1. Only the Procurement Department Head can add, edit or disable classifications. Disabled classes stay on historical records. Every change goes to the Control Log (FA-18).</t>
  </si>
  <si>
    <t>PROCUREMENT THRESHOLDS AND AUTHORITY LIMITS (PARAMETERS)</t>
  </si>
  <si>
    <t>Parameter table - values from the As-Is analysis; confirm against Afghan public procurement rules for state-owned corporations</t>
  </si>
  <si>
    <t>Parameter</t>
  </si>
  <si>
    <t>Value</t>
  </si>
  <si>
    <t>Source</t>
  </si>
  <si>
    <t>Notes</t>
  </si>
  <si>
    <t>Direct Purchase - upper limit (AFN)</t>
  </si>
  <si>
    <t>As-Is (inferred)</t>
  </si>
  <si>
    <t>Purchases up to this value need no competing quotes; inferred from "three quotes above 20,000".</t>
  </si>
  <si>
    <t>Quotation-Based - applies above (AFN)</t>
  </si>
  <si>
    <t>As-Is</t>
  </si>
  <si>
    <t>Minimum three quotations obtained from suppliers and compared.</t>
  </si>
  <si>
    <t>Tender threshold (AFN)</t>
  </si>
  <si>
    <t>NOT STATED - confirm</t>
  </si>
  <si>
    <t>The report says "defined tender threshold" but gives no figure. Leave blank until confirmed; the suggestion then never proposes Tender.</t>
  </si>
  <si>
    <t>Minimum number of quotations / bids</t>
  </si>
  <si>
    <t>To-Be: "minimum three quotations"</t>
  </si>
  <si>
    <t>Applied to Quotation-Based; assumed for Tender until confirmed.</t>
  </si>
  <si>
    <t>Cash payment applies below (AFN)</t>
  </si>
  <si>
    <t>Cash for amounts under 50,000 AFN, bank transfer above. Applies to Finance payment mode.</t>
  </si>
  <si>
    <t>Executive Director authority - up to (AFN)</t>
  </si>
  <si>
    <t>Contracts up to this value are approved by the ED.</t>
  </si>
  <si>
    <t>General Directorate authority - up to (AFN)</t>
  </si>
  <si>
    <t>Above the ED limit and up to this value.</t>
  </si>
  <si>
    <t>National Procurement Authority - above (AFN)</t>
  </si>
  <si>
    <t>Contracts above the General Directorate limit.</t>
  </si>
  <si>
    <t>TEST CALCULATOR</t>
  </si>
  <si>
    <t>Contract value (AFN)</t>
  </si>
  <si>
    <t>Suggested method</t>
  </si>
  <si>
    <t>Approving authority</t>
  </si>
  <si>
    <t>Payment mode (Finance)</t>
  </si>
  <si>
    <t>1. Rows 8-15 feed the consistency check on PC-02 and the minimum-bids rule on PC-03. They must be editable parameters (with effective dates in a real build) so procurement-rule changes need no code change.</t>
  </si>
  <si>
    <t>2. The To-Be only ever records ED approval; it does not capture approval by the General Directorate or the National Procurement Authority for larger contracts (see PC-02 note 3).</t>
  </si>
  <si>
    <t>OFFICER CORRECTION REQUEST - PROCUREMENT</t>
  </si>
  <si>
    <t>Form PC-15  |  Version 1.0  |  Same standard form as FA-11, module set to Procurement</t>
  </si>
  <si>
    <t>A. REQUEST (raised by Procurement Officer)</t>
  </si>
  <si>
    <t>Request No.</t>
  </si>
  <si>
    <t>CR-2026-000071</t>
  </si>
  <si>
    <t>Module</t>
  </si>
  <si>
    <t>Procurement</t>
  </si>
  <si>
    <t>Second Unit / HQ</t>
  </si>
  <si>
    <t>Entry Type</t>
  </si>
  <si>
    <t>Purchase Order / Contract</t>
  </si>
  <si>
    <t>Entry Reference</t>
  </si>
  <si>
    <t>Raised By (Officer)</t>
  </si>
  <si>
    <t>Entry Status at Request</t>
  </si>
  <si>
    <t>Submitted - before finalization</t>
  </si>
  <si>
    <t>Description of Error
(written justification)</t>
  </si>
  <si>
    <t>Contract deadline entered as 31-Oct-2025; the contract states 31-Oct-2026. EXAMPLE DATA.</t>
  </si>
  <si>
    <t>Required Correction</t>
  </si>
  <si>
    <t>Change Contract Deadline to 31-Oct-2026.</t>
  </si>
  <si>
    <t>B. PROCUREMENT DEPARTMENT HEAD DECISION (notified automatically on submission)</t>
  </si>
  <si>
    <t>Decision</t>
  </si>
  <si>
    <t>Decision Date / Time</t>
  </si>
  <si>
    <t>Reason (recorded if Rejected)</t>
  </si>
  <si>
    <t>Entry Unlocked</t>
  </si>
  <si>
    <t>Yes - Officer notified automatically</t>
  </si>
  <si>
    <t>Corrected Entry Ref.</t>
  </si>
  <si>
    <t>PO-2026-0051 (rev. 2)</t>
  </si>
  <si>
    <t>C. CONTROL LOG - PERMANENTLY RECORDED AND VISIBLE TO INTERNAL CONTROL</t>
  </si>
  <si>
    <t>Original entry</t>
  </si>
  <si>
    <t>Recorded</t>
  </si>
  <si>
    <t>Correction request</t>
  </si>
  <si>
    <t>Department Head approval</t>
  </si>
  <si>
    <t>Corrected entry</t>
  </si>
  <si>
    <t>DECIDED BY
(Procurement Department Head)</t>
  </si>
  <si>
    <t>1. Applies to submitted records before finalization (e.g. wrong contract deadline, notification threshold or item description). The Officer can never modify or delete a submitted entry directly. An IC rejection at GRN / Handover uses the loop in PC-10. Every step is written to the Control Log.</t>
  </si>
  <si>
    <t>PROCUREMENT APPROVAL AND VERIFICATION MATRIX</t>
  </si>
  <si>
    <t>Who prepares, approves and verifies each form; the Executive Director has no system role</t>
  </si>
  <si>
    <t>Form</t>
  </si>
  <si>
    <t>Initiated / Prepared By</t>
  </si>
  <si>
    <t>Department Head Action</t>
  </si>
  <si>
    <t>ED / Director (physical, outside system)</t>
  </si>
  <si>
    <t>Other Role</t>
  </si>
  <si>
    <t>Internal Control (read-only)</t>
  </si>
  <si>
    <t>Automatic System Action</t>
  </si>
  <si>
    <t>PC-01 Pending Queue</t>
  </si>
  <si>
    <t>Requesting department staff transfer approved request</t>
  </si>
  <si>
    <t>Requesting Dept Head approved earlier</t>
  </si>
  <si>
    <t>ED approval obtained outside, recorded by staff before transfer</t>
  </si>
  <si>
    <t>None</t>
  </si>
  <si>
    <t>Read-only</t>
  </si>
  <si>
    <t>Holds requests without ED confirmation in Pending ED Approval</t>
  </si>
  <si>
    <t>Procurement Officer</t>
  </si>
  <si>
    <t>None (Head sets classifications)</t>
  </si>
  <si>
    <t>Threshold suggestion (recommended)</t>
  </si>
  <si>
    <t>Stores bids and justification; supplier eligibility check (addition)</t>
  </si>
  <si>
    <t>Procurement Officer drafts</t>
  </si>
  <si>
    <t>Procurement Head approves and finalizes</t>
  </si>
  <si>
    <t>ED approval auto-linked from request</t>
  </si>
  <si>
    <t>Auto total value; alert date; status Raised -&gt; Sent</t>
  </si>
  <si>
    <t>PC-05 Security Deposit</t>
  </si>
  <si>
    <t>Finance confirms receipt; Procurement Head authorizes refund / forfeiture</t>
  </si>
  <si>
    <t>Authorizes refund and forfeiture</t>
  </si>
  <si>
    <t>Finance Officer confirms receipt / processes refund</t>
  </si>
  <si>
    <t>Posts deposit, refund or forfeiture entry</t>
  </si>
  <si>
    <t>PC-07 Tracker / PC-08 Extension</t>
  </si>
  <si>
    <t>Procurement Officer updates % / raises extension</t>
  </si>
  <si>
    <t>Approves extension; receives alerts</t>
  </si>
  <si>
    <t>Alerts to Officer and Head; resets alerts on extension; flags Overdue / Breached</t>
  </si>
  <si>
    <t>Requesting Department staff</t>
  </si>
  <si>
    <t>Requesting Dept Head reviews and re-approves after rejection</t>
  </si>
  <si>
    <t>Mandatory Verify or Reject</t>
  </si>
  <si>
    <t>Routes to IC</t>
  </si>
  <si>
    <t>n/a</t>
  </si>
  <si>
    <t>Inventory Head or Requesting Dept Head unlocks on rejection</t>
  </si>
  <si>
    <t>Finance receives Awaiting Payment</t>
  </si>
  <si>
    <t>Verify / Reject at GRN or Handover</t>
  </si>
  <si>
    <t>On verification: PO Completed; Dr Expense or Fixed Asset / Cr AP</t>
  </si>
  <si>
    <t>Procurement Dept Head</t>
  </si>
  <si>
    <t>Adds / edits / disables</t>
  </si>
  <si>
    <t>Logs every change</t>
  </si>
  <si>
    <t>Approves / rejects; unlocks if approved</t>
  </si>
  <si>
    <t>Sees full trail in Control Log</t>
  </si>
  <si>
    <t>Notifies Officer on unlock; logs every step</t>
  </si>
  <si>
    <t>ACCOUNTING ENTRIES - DEVELOPER REFERENCE (PROCUREMENT)</t>
  </si>
  <si>
    <t>Posted automatically in the background - no manual journal entries by Finance</t>
  </si>
  <si>
    <t>#</t>
  </si>
  <si>
    <t>Trigger Event</t>
  </si>
  <si>
    <t>Debit</t>
  </si>
  <si>
    <t>Credit</t>
  </si>
  <si>
    <t>Posting Basis / Related Form</t>
  </si>
  <si>
    <t>Supplier security deposit received (confirmed by Finance)</t>
  </si>
  <si>
    <t>Bank Account</t>
  </si>
  <si>
    <t>Supplier Security Deposit Account (Current Liability)</t>
  </si>
  <si>
    <t>Finance Officer confirms in bank reconciliation, linked to the contract (PC-05, FA-06)</t>
  </si>
  <si>
    <t>Supplier security deposit refunded (processed by Finance)</t>
  </si>
  <si>
    <t>After Procurement Head authorization (PC-05)</t>
  </si>
  <si>
    <t>Supplier security deposit forfeited (approved by Procurement Head)</t>
  </si>
  <si>
    <t>Other Income Account</t>
  </si>
  <si>
    <t>Goods received / project completed (IC-verified GRN or Handover)</t>
  </si>
  <si>
    <t>Relevant Expense or Fixed Asset Account</t>
  </si>
  <si>
    <t>Accounts Payable</t>
  </si>
  <si>
    <t>On IC verification (IN-05 / PC-09, PC-10)</t>
  </si>
  <si>
    <t>Final supplier payment processed by Finance</t>
  </si>
  <si>
    <t>After the Awaiting Payment notification (FA-01)</t>
  </si>
  <si>
    <t>1. The Procurement module itself posts nothing for purchase orders: financial effects arise only from Finance-confirmed deposits and IC-verified GRNs / Handovers. Deposits are classified as Current Liabilities; forfeitures accrue to Other Income (penalty revenue).</t>
  </si>
  <si>
    <t>2. The goods-received entry is identical to the Inventory module entries (IN-13); the Inventory section splits it between expense and stock (asset) items. Confirm the final posting rule once to avoid double posting.</t>
  </si>
  <si>
    <t>REQUIRED REPORTS - PROCUREMENT</t>
  </si>
  <si>
    <t>Every report is generated dynamically in real time with a flexible Custom Date Range filter; standard header/footer as FA-16</t>
  </si>
  <si>
    <t>Report</t>
  </si>
  <si>
    <t>Frequency</t>
  </si>
  <si>
    <t>Filter Options</t>
  </si>
  <si>
    <t>Export</t>
  </si>
  <si>
    <t>Bid Comparison and Selection Report</t>
  </si>
  <si>
    <t>On demand</t>
  </si>
  <si>
    <t>By contract: competing bids, prices and winning justifications</t>
  </si>
  <si>
    <t>PDF + Excel</t>
  </si>
  <si>
    <t>Procurement Classification Report</t>
  </si>
  <si>
    <t>By classification (Goods, Consultancy, Non-Consultancy, Construction, custom)</t>
  </si>
  <si>
    <t>Project Implementation &amp; Deadline Tracker</t>
  </si>
  <si>
    <t>Real-time</t>
  </si>
  <si>
    <t>By implementation %, overdue contracts, extended contracts</t>
  </si>
  <si>
    <t>Security Deposit Ledger</t>
  </si>
  <si>
    <t>Active deposits, refunded, forfeited (transferred to Other Income)</t>
  </si>
  <si>
    <t>Procurement Activity Report by Method</t>
  </si>
  <si>
    <t>Tender / Quotation-Based / Direct Purchase; per period, per department, per Second Unit</t>
  </si>
  <si>
    <t>Purchase Order / Contract Register</t>
  </si>
  <si>
    <t>By status, by supplier, by Second Unit</t>
  </si>
  <si>
    <t>Pending Purchase Requests Report</t>
  </si>
  <si>
    <t>All requests awaiting Procurement action</t>
  </si>
  <si>
    <t>Purchase Orders Awaiting Goods Receipt</t>
  </si>
  <si>
    <t>All finalized purchase orders pending IC-verified GRN / Handover</t>
  </si>
  <si>
    <t>Completed Procurements Report</t>
  </si>
  <si>
    <t>All fully completed purchase cycles (per period, per supplier)</t>
  </si>
  <si>
    <t>Procurement Value by Method Report</t>
  </si>
  <si>
    <t>Monthly / Annual</t>
  </si>
  <si>
    <t>Total AFN value per procurement method in the defined period</t>
  </si>
  <si>
    <t>Supplier Purchase History Report</t>
  </si>
  <si>
    <t>Per supplier: all purchase orders, values and delivery records</t>
  </si>
  <si>
    <t>Internal Control Verification Report</t>
  </si>
  <si>
    <t>Monthly</t>
  </si>
  <si>
    <t>By verification outcome (Verified / Rejected) at GRN / Handover stage</t>
  </si>
  <si>
    <t>Control Log / Audit Trail Report</t>
  </si>
  <si>
    <t>By user, date and action type (including extension approvals and unlocks)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</si>
</sst>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0.00;\(#,##0.00\);\-"/>
    <numFmt numFmtId="166" formatCode="dd\-mmm\-yyyy\ hh:mm"/>
  </numFmts>
  <fonts count="14" x14ac:knownFonts="1">
    <font>
      <sz val="11"/>
      <color theme="1"/>
      <name val="Calibri"/>
      <family val="2"/>
      <charset val="1"/>
    </font>
    <font>
      <b/>
      <sz val="16"/>
      <color rgb="FF1F3864"/>
      <name val="Arial"/>
      <charset val="1"/>
    </font>
    <font>
      <b/>
      <sz val="13"/>
      <color rgb="FF000000"/>
      <name val="Arial"/>
      <charset val="1"/>
    </font>
    <font>
      <i/>
      <sz val="9"/>
      <color rgb="FF000000"/>
      <name val="Arial"/>
      <charset val="1"/>
    </font>
    <font>
      <b/>
      <sz val="10"/>
      <color rgb="FF000000"/>
      <name val="Arial"/>
      <charset val="1"/>
    </font>
    <font>
      <sz val="10"/>
      <color rgb="FF0000FF"/>
      <name val="Arial"/>
      <charset val="1"/>
    </font>
    <font>
      <sz val="10"/>
      <color rgb="FF000000"/>
      <name val="Arial"/>
      <charset val="1"/>
    </font>
    <font>
      <i/>
      <sz val="10"/>
      <color rgb="FF7F7F7F"/>
      <name val="Arial"/>
      <charset val="1"/>
    </font>
    <font>
      <sz val="10"/>
      <color rgb="FFFFFFFF"/>
      <name val="Arial"/>
      <charset val="1"/>
    </font>
    <font>
      <b/>
      <sz val="10"/>
      <color rgb="FFFFFFFF"/>
      <name val="Arial"/>
      <charset val="1"/>
    </font>
    <font>
      <u/>
      <sz val="10"/>
      <color rgb="FF0563C1"/>
      <name val="Arial"/>
      <charset val="1"/>
    </font>
    <font>
      <sz val="9"/>
      <color rgb="FF000000"/>
      <name val="Arial"/>
      <charset val="1"/>
    </font>
    <font>
      <b/>
      <sz val="14"/>
      <color rgb="FF1F3864"/>
      <name val="Arial"/>
      <charset val="1"/>
    </font>
    <font>
      <b/>
      <sz val="9"/>
      <color rgb="FFFFFFFF"/>
      <name val="Arial"/>
      <charset val="1"/>
    </font>
  </fonts>
  <fills count="7">
    <fill>
      <patternFill patternType="none"/>
    </fill>
    <fill>
      <patternFill patternType="gray125"/>
    </fill>
    <fill>
      <patternFill patternType="solid">
        <fgColor rgb="FFD9E1F2"/>
        <bgColor rgb="FFE7E6E6"/>
      </patternFill>
    </fill>
    <fill>
      <patternFill patternType="solid">
        <fgColor rgb="FFFFF2CC"/>
        <bgColor rgb="FFF2F2F2"/>
      </patternFill>
    </fill>
    <fill>
      <patternFill patternType="solid">
        <fgColor rgb="FFE7E6E6"/>
        <bgColor rgb="FFD9E1F2"/>
      </patternFill>
    </fill>
    <fill>
      <patternFill patternType="solid">
        <fgColor rgb="FFF2F2F2"/>
        <bgColor rgb="FFE7E6E6"/>
      </patternFill>
    </fill>
    <fill>
      <patternFill patternType="solid">
        <fgColor rgb="FF1F3864"/>
        <bgColor rgb="FF333333"/>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1">
    <xf numFmtId="0" fontId="0" fillId="0" borderId="0"/>
  </cellStyleXfs>
  <cellXfs count="59">
    <xf numFmtId="0" fontId="0" fillId="0" borderId="0" xfId="0"/>
    <xf numFmtId="0" fontId="6" fillId="4" borderId="1" xfId="0" applyFont="1" applyFill="1" applyBorder="1" applyAlignment="1">
      <alignment horizontal="left" vertical="center" wrapText="1"/>
    </xf>
    <xf numFmtId="0" fontId="9" fillId="6" borderId="1" xfId="0" applyFont="1" applyFill="1" applyBorder="1" applyAlignment="1">
      <alignment horizontal="left" vertical="center" wrapText="1"/>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7" fillId="0" borderId="1" xfId="0" applyFont="1" applyBorder="1" applyAlignment="1">
      <alignment horizontal="center" vertical="center" wrapText="1"/>
    </xf>
    <xf numFmtId="0" fontId="11" fillId="0" borderId="1" xfId="0" applyFont="1" applyBorder="1" applyAlignment="1">
      <alignment horizontal="left" vertical="center" wrapText="1"/>
    </xf>
    <xf numFmtId="0" fontId="6" fillId="0" borderId="1" xfId="0" applyFont="1" applyBorder="1" applyAlignment="1">
      <alignment horizontal="left" vertical="center" wrapText="1"/>
    </xf>
    <xf numFmtId="0" fontId="4" fillId="2" borderId="1" xfId="0" applyFont="1" applyFill="1" applyBorder="1" applyAlignment="1">
      <alignment horizontal="left" vertical="center" wrapText="1"/>
    </xf>
    <xf numFmtId="0" fontId="3" fillId="0" borderId="0" xfId="0" applyFont="1"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horizontal="center" vertical="center" wrapText="1"/>
    </xf>
    <xf numFmtId="0" fontId="4" fillId="2" borderId="1"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6" fillId="0" borderId="1" xfId="0" applyFont="1" applyBorder="1" applyAlignment="1">
      <alignment horizontal="left" vertical="center" wrapText="1"/>
    </xf>
    <xf numFmtId="0" fontId="6"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10" fillId="0" borderId="1" xfId="0" applyFont="1" applyBorder="1" applyAlignment="1">
      <alignment horizontal="left" vertical="center" wrapText="1"/>
    </xf>
    <xf numFmtId="0" fontId="11" fillId="0" borderId="1" xfId="0" applyFont="1" applyBorder="1" applyAlignment="1">
      <alignment horizontal="left" vertical="center" wrapText="1"/>
    </xf>
    <xf numFmtId="0" fontId="5" fillId="3" borderId="1" xfId="0" applyFont="1" applyFill="1" applyBorder="1" applyAlignment="1">
      <alignment horizontal="left" vertical="center" wrapText="1"/>
    </xf>
    <xf numFmtId="164" fontId="5" fillId="3" borderId="1" xfId="0" applyNumberFormat="1" applyFont="1" applyFill="1" applyBorder="1" applyAlignment="1">
      <alignment horizontal="left" vertical="center" wrapText="1"/>
    </xf>
    <xf numFmtId="0" fontId="6" fillId="4" borderId="1" xfId="0" applyFont="1" applyFill="1" applyBorder="1" applyAlignment="1">
      <alignment horizontal="left" vertical="center" wrapText="1"/>
    </xf>
    <xf numFmtId="165" fontId="6" fillId="4" borderId="1" xfId="0" applyNumberFormat="1" applyFont="1" applyFill="1" applyBorder="1" applyAlignment="1">
      <alignment horizontal="left" vertical="center" wrapText="1"/>
    </xf>
    <xf numFmtId="0" fontId="13" fillId="6" borderId="1" xfId="0" applyFont="1" applyFill="1" applyBorder="1" applyAlignment="1">
      <alignment horizontal="center" vertical="center" wrapText="1"/>
    </xf>
    <xf numFmtId="0" fontId="6" fillId="0" borderId="1" xfId="0" applyFont="1" applyBorder="1" applyAlignment="1">
      <alignment horizontal="left" vertical="top" wrapText="1"/>
    </xf>
    <xf numFmtId="165" fontId="5" fillId="3" borderId="1" xfId="0" applyNumberFormat="1" applyFont="1" applyFill="1" applyBorder="1" applyAlignment="1">
      <alignment horizontal="left" vertical="center" wrapText="1"/>
    </xf>
    <xf numFmtId="165" fontId="6" fillId="0" borderId="1" xfId="0" applyNumberFormat="1" applyFont="1" applyBorder="1" applyAlignment="1">
      <alignment horizontal="left" vertical="center" wrapText="1"/>
    </xf>
    <xf numFmtId="164" fontId="6" fillId="4" borderId="1" xfId="0" applyNumberFormat="1" applyFont="1" applyFill="1" applyBorder="1" applyAlignment="1">
      <alignment horizontal="left" vertical="center" wrapText="1"/>
    </xf>
    <xf numFmtId="3" fontId="6" fillId="4" borderId="1" xfId="0" applyNumberFormat="1" applyFont="1" applyFill="1" applyBorder="1" applyAlignment="1">
      <alignment horizontal="left" vertical="center" wrapText="1"/>
    </xf>
    <xf numFmtId="165" fontId="4" fillId="2" borderId="1" xfId="0" applyNumberFormat="1" applyFont="1" applyFill="1" applyBorder="1" applyAlignment="1">
      <alignment horizontal="left" vertical="center" wrapText="1"/>
    </xf>
    <xf numFmtId="0" fontId="6" fillId="2" borderId="1" xfId="0" applyFont="1" applyFill="1" applyBorder="1" applyAlignment="1">
      <alignment horizontal="left" vertical="center" wrapText="1"/>
    </xf>
    <xf numFmtId="9" fontId="5" fillId="3" borderId="1" xfId="0" applyNumberFormat="1" applyFont="1" applyFill="1" applyBorder="1" applyAlignment="1">
      <alignment horizontal="center" vertical="center" wrapText="1"/>
    </xf>
    <xf numFmtId="9" fontId="6" fillId="0" borderId="1" xfId="0" applyNumberFormat="1" applyFont="1" applyBorder="1" applyAlignment="1">
      <alignment horizontal="center" vertical="center" wrapText="1"/>
    </xf>
    <xf numFmtId="9" fontId="6" fillId="4" borderId="1" xfId="0" applyNumberFormat="1" applyFont="1" applyFill="1" applyBorder="1" applyAlignment="1">
      <alignment horizontal="center" vertical="center" wrapText="1"/>
    </xf>
    <xf numFmtId="164" fontId="6" fillId="4"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1" fontId="5" fillId="3" borderId="1" xfId="0" applyNumberFormat="1" applyFont="1" applyFill="1" applyBorder="1" applyAlignment="1">
      <alignment horizontal="left" vertical="center" wrapText="1"/>
    </xf>
    <xf numFmtId="165" fontId="6" fillId="4" borderId="1" xfId="0" applyNumberFormat="1" applyFont="1" applyFill="1" applyBorder="1" applyAlignment="1">
      <alignment horizontal="left" vertical="center" wrapText="1"/>
    </xf>
    <xf numFmtId="0" fontId="5" fillId="3" borderId="1" xfId="0" applyFont="1" applyFill="1" applyBorder="1" applyAlignment="1">
      <alignment horizontal="left" vertical="center" wrapText="1"/>
    </xf>
    <xf numFmtId="0" fontId="13" fillId="6" borderId="1" xfId="0" applyFont="1" applyFill="1" applyBorder="1" applyAlignment="1">
      <alignment horizontal="center" vertical="center" wrapText="1"/>
    </xf>
    <xf numFmtId="0" fontId="6" fillId="0" borderId="1" xfId="0" applyFont="1" applyBorder="1" applyAlignment="1">
      <alignment horizontal="left" vertical="top" wrapText="1"/>
    </xf>
    <xf numFmtId="1" fontId="6" fillId="4" borderId="1" xfId="0" applyNumberFormat="1" applyFont="1" applyFill="1" applyBorder="1" applyAlignment="1">
      <alignment horizontal="left" vertical="center" wrapText="1"/>
    </xf>
    <xf numFmtId="164" fontId="6" fillId="4" borderId="1" xfId="0" applyNumberFormat="1" applyFont="1" applyFill="1" applyBorder="1" applyAlignment="1">
      <alignment horizontal="left" vertical="center" wrapText="1"/>
    </xf>
    <xf numFmtId="3" fontId="5" fillId="3" borderId="1" xfId="0" applyNumberFormat="1" applyFont="1" applyFill="1" applyBorder="1" applyAlignment="1">
      <alignment horizontal="left" vertical="center" wrapText="1"/>
    </xf>
    <xf numFmtId="165" fontId="5" fillId="3" borderId="1" xfId="0" applyNumberFormat="1" applyFont="1" applyFill="1" applyBorder="1" applyAlignment="1">
      <alignment horizontal="left" vertical="center" wrapText="1"/>
    </xf>
    <xf numFmtId="0" fontId="4" fillId="2" borderId="1" xfId="0" applyFont="1" applyFill="1" applyBorder="1" applyAlignment="1">
      <alignment horizontal="right" vertical="center" wrapText="1"/>
    </xf>
    <xf numFmtId="0" fontId="6" fillId="6"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164" fontId="5" fillId="3" borderId="1" xfId="0" applyNumberFormat="1" applyFont="1" applyFill="1" applyBorder="1" applyAlignment="1">
      <alignment horizontal="left" vertical="center" wrapText="1"/>
    </xf>
    <xf numFmtId="9" fontId="6" fillId="4" borderId="1" xfId="0" applyNumberFormat="1" applyFont="1" applyFill="1" applyBorder="1" applyAlignment="1">
      <alignment horizontal="left" vertical="center" wrapText="1"/>
    </xf>
    <xf numFmtId="0" fontId="6" fillId="2" borderId="1" xfId="0" applyFont="1" applyFill="1" applyBorder="1" applyAlignment="1">
      <alignment horizontal="left" vertical="center" wrapText="1"/>
    </xf>
    <xf numFmtId="0" fontId="9" fillId="6"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166" fontId="6" fillId="4" borderId="1" xfId="0" applyNumberFormat="1" applyFont="1" applyFill="1" applyBorder="1" applyAlignment="1">
      <alignment horizontal="left" vertical="center" wrapText="1"/>
    </xf>
    <xf numFmtId="0" fontId="6"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2CC"/>
      <rgbColor rgb="FFF2F2F2"/>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E7E6E6"/>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North_Coal_ERP_Procurement_Forms.xlsx" TargetMode="External"/><Relationship Id="rId13" Type="http://schemas.openxmlformats.org/officeDocument/2006/relationships/hyperlink" Target="North_Coal_ERP_Procurement_Forms.xlsx" TargetMode="External"/><Relationship Id="rId18" Type="http://schemas.openxmlformats.org/officeDocument/2006/relationships/hyperlink" Target="North_Coal_ERP_Procurement_Forms.xlsx" TargetMode="External"/><Relationship Id="rId3" Type="http://schemas.openxmlformats.org/officeDocument/2006/relationships/hyperlink" Target="North_Coal_ERP_Procurement_Forms.xlsx" TargetMode="External"/><Relationship Id="rId7" Type="http://schemas.openxmlformats.org/officeDocument/2006/relationships/hyperlink" Target="North_Coal_ERP_Procurement_Forms.xlsx" TargetMode="External"/><Relationship Id="rId12" Type="http://schemas.openxmlformats.org/officeDocument/2006/relationships/hyperlink" Target="North_Coal_ERP_Procurement_Forms.xlsx" TargetMode="External"/><Relationship Id="rId17" Type="http://schemas.openxmlformats.org/officeDocument/2006/relationships/hyperlink" Target="North_Coal_ERP_Procurement_Forms.xlsx" TargetMode="External"/><Relationship Id="rId2" Type="http://schemas.openxmlformats.org/officeDocument/2006/relationships/hyperlink" Target="North_Coal_ERP_Procurement_Forms.xlsx" TargetMode="External"/><Relationship Id="rId16" Type="http://schemas.openxmlformats.org/officeDocument/2006/relationships/hyperlink" Target="North_Coal_ERP_Procurement_Forms.xlsx" TargetMode="External"/><Relationship Id="rId1" Type="http://schemas.openxmlformats.org/officeDocument/2006/relationships/hyperlink" Target="North_Coal_ERP_Procurement_Forms.xlsx" TargetMode="External"/><Relationship Id="rId6" Type="http://schemas.openxmlformats.org/officeDocument/2006/relationships/hyperlink" Target="North_Coal_ERP_Procurement_Forms.xlsx" TargetMode="External"/><Relationship Id="rId11" Type="http://schemas.openxmlformats.org/officeDocument/2006/relationships/hyperlink" Target="North_Coal_ERP_Procurement_Forms.xlsx" TargetMode="External"/><Relationship Id="rId5" Type="http://schemas.openxmlformats.org/officeDocument/2006/relationships/hyperlink" Target="North_Coal_ERP_Procurement_Forms.xlsx" TargetMode="External"/><Relationship Id="rId15" Type="http://schemas.openxmlformats.org/officeDocument/2006/relationships/hyperlink" Target="North_Coal_ERP_Procurement_Forms.xlsx" TargetMode="External"/><Relationship Id="rId10" Type="http://schemas.openxmlformats.org/officeDocument/2006/relationships/hyperlink" Target="North_Coal_ERP_Procurement_Forms.xlsx" TargetMode="External"/><Relationship Id="rId4" Type="http://schemas.openxmlformats.org/officeDocument/2006/relationships/hyperlink" Target="North_Coal_ERP_Procurement_Forms.xlsx" TargetMode="External"/><Relationship Id="rId9" Type="http://schemas.openxmlformats.org/officeDocument/2006/relationships/hyperlink" Target="North_Coal_ERP_Procurement_Forms.xlsx" TargetMode="External"/><Relationship Id="rId14" Type="http://schemas.openxmlformats.org/officeDocument/2006/relationships/hyperlink" Target="North_Coal_ERP_Procurement_Forms.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D38"/>
  <sheetViews>
    <sheetView showGridLines="0" tabSelected="1" zoomScaleNormal="100" workbookViewId="0">
      <selection sqref="A1:D1"/>
    </sheetView>
  </sheetViews>
  <sheetFormatPr defaultColWidth="8.68359375" defaultRowHeight="14.4" x14ac:dyDescent="0.55000000000000004"/>
  <cols>
    <col min="1" max="1" width="12" customWidth="1"/>
    <col min="2" max="2" width="34" customWidth="1"/>
    <col min="3" max="3" width="86" customWidth="1"/>
    <col min="4" max="4" width="30" customWidth="1"/>
  </cols>
  <sheetData>
    <row r="1" spans="1:4" ht="18" customHeight="1" x14ac:dyDescent="0.55000000000000004">
      <c r="A1" s="12" t="s">
        <v>0</v>
      </c>
      <c r="B1" s="12"/>
      <c r="C1" s="12"/>
      <c r="D1" s="12"/>
    </row>
    <row r="2" spans="1:4" ht="18" customHeight="1" x14ac:dyDescent="0.55000000000000004">
      <c r="A2" s="11" t="s">
        <v>1</v>
      </c>
      <c r="B2" s="11"/>
      <c r="C2" s="11"/>
      <c r="D2" s="11"/>
    </row>
    <row r="3" spans="1:4" ht="18" customHeight="1" x14ac:dyDescent="0.55000000000000004">
      <c r="A3" s="10" t="s">
        <v>2</v>
      </c>
      <c r="B3" s="10"/>
      <c r="C3" s="10"/>
      <c r="D3" s="10"/>
    </row>
    <row r="5" spans="1:4" ht="18" customHeight="1" x14ac:dyDescent="0.55000000000000004">
      <c r="A5" s="9" t="s">
        <v>3</v>
      </c>
      <c r="B5" s="9"/>
      <c r="C5" s="9"/>
      <c r="D5" s="9"/>
    </row>
    <row r="6" spans="1:4" ht="18" customHeight="1" x14ac:dyDescent="0.55000000000000004">
      <c r="A6" s="14" t="s">
        <v>4</v>
      </c>
      <c r="B6" s="8" t="s">
        <v>5</v>
      </c>
      <c r="C6" s="8"/>
      <c r="D6" s="8"/>
    </row>
    <row r="7" spans="1:4" ht="18" customHeight="1" x14ac:dyDescent="0.55000000000000004">
      <c r="A7" s="16" t="s">
        <v>6</v>
      </c>
      <c r="B7" s="8" t="s">
        <v>7</v>
      </c>
      <c r="C7" s="8"/>
      <c r="D7" s="8"/>
    </row>
    <row r="8" spans="1:4" ht="18" customHeight="1" x14ac:dyDescent="0.55000000000000004">
      <c r="A8" s="17" t="s">
        <v>8</v>
      </c>
      <c r="B8" s="8" t="s">
        <v>9</v>
      </c>
      <c r="C8" s="8"/>
      <c r="D8" s="8"/>
    </row>
    <row r="9" spans="1:4" ht="18" customHeight="1" x14ac:dyDescent="0.55000000000000004">
      <c r="A9" s="18" t="s">
        <v>10</v>
      </c>
      <c r="B9" s="8" t="s">
        <v>11</v>
      </c>
      <c r="C9" s="8"/>
      <c r="D9" s="8"/>
    </row>
    <row r="11" spans="1:4" ht="24" customHeight="1" x14ac:dyDescent="0.55000000000000004">
      <c r="A11" s="19" t="s">
        <v>12</v>
      </c>
      <c r="B11" s="19" t="s">
        <v>13</v>
      </c>
      <c r="C11" s="19" t="s">
        <v>14</v>
      </c>
      <c r="D11" s="19" t="s">
        <v>15</v>
      </c>
    </row>
    <row r="12" spans="1:4" ht="19.5" customHeight="1" x14ac:dyDescent="0.55000000000000004">
      <c r="A12" s="20" t="s">
        <v>16</v>
      </c>
      <c r="B12" s="21" t="s">
        <v>17</v>
      </c>
      <c r="C12" s="15" t="s">
        <v>18</v>
      </c>
      <c r="D12" s="22" t="s">
        <v>19</v>
      </c>
    </row>
    <row r="13" spans="1:4" ht="30.75" customHeight="1" x14ac:dyDescent="0.55000000000000004">
      <c r="A13" s="20" t="s">
        <v>20</v>
      </c>
      <c r="B13" s="21" t="s">
        <v>21</v>
      </c>
      <c r="C13" s="15" t="s">
        <v>22</v>
      </c>
      <c r="D13" s="22" t="s">
        <v>23</v>
      </c>
    </row>
    <row r="14" spans="1:4" ht="30.75" customHeight="1" x14ac:dyDescent="0.55000000000000004">
      <c r="A14" s="20" t="s">
        <v>24</v>
      </c>
      <c r="B14" s="21" t="s">
        <v>25</v>
      </c>
      <c r="C14" s="15" t="s">
        <v>26</v>
      </c>
      <c r="D14" s="22" t="s">
        <v>27</v>
      </c>
    </row>
    <row r="15" spans="1:4" ht="30.75" customHeight="1" x14ac:dyDescent="0.55000000000000004">
      <c r="A15" s="20" t="s">
        <v>28</v>
      </c>
      <c r="B15" s="21" t="s">
        <v>29</v>
      </c>
      <c r="C15" s="15" t="s">
        <v>30</v>
      </c>
      <c r="D15" s="22" t="s">
        <v>31</v>
      </c>
    </row>
    <row r="16" spans="1:4" ht="30.75" customHeight="1" x14ac:dyDescent="0.55000000000000004">
      <c r="A16" s="20" t="s">
        <v>32</v>
      </c>
      <c r="B16" s="21" t="s">
        <v>33</v>
      </c>
      <c r="C16" s="15" t="s">
        <v>34</v>
      </c>
      <c r="D16" s="22" t="s">
        <v>35</v>
      </c>
    </row>
    <row r="17" spans="1:4" ht="19.5" customHeight="1" x14ac:dyDescent="0.55000000000000004">
      <c r="A17" s="20" t="s">
        <v>36</v>
      </c>
      <c r="B17" s="21" t="s">
        <v>37</v>
      </c>
      <c r="C17" s="15" t="s">
        <v>38</v>
      </c>
      <c r="D17" s="22" t="s">
        <v>39</v>
      </c>
    </row>
    <row r="18" spans="1:4" ht="30.75" customHeight="1" x14ac:dyDescent="0.55000000000000004">
      <c r="A18" s="20" t="s">
        <v>40</v>
      </c>
      <c r="B18" s="21" t="s">
        <v>41</v>
      </c>
      <c r="C18" s="15" t="s">
        <v>42</v>
      </c>
      <c r="D18" s="22" t="s">
        <v>43</v>
      </c>
    </row>
    <row r="19" spans="1:4" ht="30.75" customHeight="1" x14ac:dyDescent="0.55000000000000004">
      <c r="A19" s="20" t="s">
        <v>44</v>
      </c>
      <c r="B19" s="21" t="s">
        <v>45</v>
      </c>
      <c r="C19" s="15" t="s">
        <v>46</v>
      </c>
      <c r="D19" s="22" t="s">
        <v>47</v>
      </c>
    </row>
    <row r="20" spans="1:4" ht="30.75" customHeight="1" x14ac:dyDescent="0.55000000000000004">
      <c r="A20" s="20" t="s">
        <v>48</v>
      </c>
      <c r="B20" s="21" t="s">
        <v>49</v>
      </c>
      <c r="C20" s="15" t="s">
        <v>50</v>
      </c>
      <c r="D20" s="22" t="s">
        <v>51</v>
      </c>
    </row>
    <row r="21" spans="1:4" ht="30.75" customHeight="1" x14ac:dyDescent="0.55000000000000004">
      <c r="A21" s="20" t="s">
        <v>52</v>
      </c>
      <c r="B21" s="21" t="s">
        <v>53</v>
      </c>
      <c r="C21" s="15" t="s">
        <v>54</v>
      </c>
      <c r="D21" s="22" t="s">
        <v>55</v>
      </c>
    </row>
    <row r="22" spans="1:4" ht="19.5" customHeight="1" x14ac:dyDescent="0.55000000000000004">
      <c r="A22" s="20" t="s">
        <v>56</v>
      </c>
      <c r="B22" s="21" t="s">
        <v>57</v>
      </c>
      <c r="C22" s="15" t="s">
        <v>58</v>
      </c>
      <c r="D22" s="22" t="s">
        <v>59</v>
      </c>
    </row>
    <row r="23" spans="1:4" ht="30.75" customHeight="1" x14ac:dyDescent="0.55000000000000004">
      <c r="A23" s="20" t="s">
        <v>60</v>
      </c>
      <c r="B23" s="21" t="s">
        <v>61</v>
      </c>
      <c r="C23" s="15" t="s">
        <v>62</v>
      </c>
      <c r="D23" s="22" t="s">
        <v>63</v>
      </c>
    </row>
    <row r="24" spans="1:4" ht="30.75" customHeight="1" x14ac:dyDescent="0.55000000000000004">
      <c r="A24" s="20" t="s">
        <v>64</v>
      </c>
      <c r="B24" s="21" t="s">
        <v>65</v>
      </c>
      <c r="C24" s="15" t="s">
        <v>66</v>
      </c>
      <c r="D24" s="22" t="s">
        <v>67</v>
      </c>
    </row>
    <row r="25" spans="1:4" ht="19.5" customHeight="1" x14ac:dyDescent="0.55000000000000004">
      <c r="A25" s="20" t="s">
        <v>68</v>
      </c>
      <c r="B25" s="21" t="s">
        <v>69</v>
      </c>
      <c r="C25" s="15" t="s">
        <v>70</v>
      </c>
      <c r="D25" s="22" t="s">
        <v>71</v>
      </c>
    </row>
    <row r="26" spans="1:4" ht="30.75" customHeight="1" x14ac:dyDescent="0.55000000000000004">
      <c r="A26" s="20" t="s">
        <v>72</v>
      </c>
      <c r="B26" s="21" t="s">
        <v>73</v>
      </c>
      <c r="C26" s="15" t="s">
        <v>74</v>
      </c>
      <c r="D26" s="22" t="s">
        <v>75</v>
      </c>
    </row>
    <row r="27" spans="1:4" ht="30.75" customHeight="1" x14ac:dyDescent="0.55000000000000004">
      <c r="A27" s="20" t="s">
        <v>76</v>
      </c>
      <c r="B27" s="21" t="s">
        <v>77</v>
      </c>
      <c r="C27" s="15" t="s">
        <v>78</v>
      </c>
      <c r="D27" s="22" t="s">
        <v>79</v>
      </c>
    </row>
    <row r="28" spans="1:4" ht="19.5" customHeight="1" x14ac:dyDescent="0.55000000000000004">
      <c r="A28" s="20" t="s">
        <v>80</v>
      </c>
      <c r="B28" s="21" t="s">
        <v>81</v>
      </c>
      <c r="C28" s="15" t="s">
        <v>82</v>
      </c>
      <c r="D28" s="22" t="s">
        <v>83</v>
      </c>
    </row>
    <row r="29" spans="1:4" ht="19.5" customHeight="1" x14ac:dyDescent="0.55000000000000004">
      <c r="A29" s="20" t="s">
        <v>84</v>
      </c>
      <c r="B29" s="21" t="s">
        <v>85</v>
      </c>
      <c r="C29" s="15" t="s">
        <v>86</v>
      </c>
      <c r="D29" s="22" t="s">
        <v>59</v>
      </c>
    </row>
    <row r="31" spans="1:4" ht="18" customHeight="1" x14ac:dyDescent="0.55000000000000004">
      <c r="A31" s="9" t="s">
        <v>87</v>
      </c>
      <c r="B31" s="9"/>
      <c r="C31" s="9"/>
      <c r="D31" s="9"/>
    </row>
    <row r="32" spans="1:4" ht="27.75" customHeight="1" x14ac:dyDescent="0.55000000000000004">
      <c r="A32" s="7" t="s">
        <v>88</v>
      </c>
      <c r="B32" s="7"/>
      <c r="C32" s="7"/>
      <c r="D32" s="7"/>
    </row>
    <row r="33" spans="1:4" ht="30.75" customHeight="1" x14ac:dyDescent="0.55000000000000004">
      <c r="A33" s="7" t="s">
        <v>89</v>
      </c>
      <c r="B33" s="7"/>
      <c r="C33" s="7"/>
      <c r="D33" s="7"/>
    </row>
    <row r="34" spans="1:4" ht="27.75" customHeight="1" x14ac:dyDescent="0.55000000000000004">
      <c r="A34" s="7" t="s">
        <v>90</v>
      </c>
      <c r="B34" s="7"/>
      <c r="C34" s="7"/>
      <c r="D34" s="7"/>
    </row>
    <row r="35" spans="1:4" ht="30.75" customHeight="1" x14ac:dyDescent="0.55000000000000004">
      <c r="A35" s="7" t="s">
        <v>91</v>
      </c>
      <c r="B35" s="7"/>
      <c r="C35" s="7"/>
      <c r="D35" s="7"/>
    </row>
    <row r="36" spans="1:4" ht="30.75" customHeight="1" x14ac:dyDescent="0.55000000000000004">
      <c r="A36" s="7" t="s">
        <v>92</v>
      </c>
      <c r="B36" s="7"/>
      <c r="C36" s="7"/>
      <c r="D36" s="7"/>
    </row>
    <row r="37" spans="1:4" ht="30.75" customHeight="1" x14ac:dyDescent="0.55000000000000004">
      <c r="A37" s="7" t="s">
        <v>93</v>
      </c>
      <c r="B37" s="7"/>
      <c r="C37" s="7"/>
      <c r="D37" s="7"/>
    </row>
    <row r="38" spans="1:4" ht="27.75" customHeight="1" x14ac:dyDescent="0.55000000000000004">
      <c r="A38" s="7" t="s">
        <v>94</v>
      </c>
      <c r="B38" s="7"/>
      <c r="C38" s="7"/>
      <c r="D38" s="7"/>
    </row>
  </sheetData>
  <mergeCells count="16">
    <mergeCell ref="A38:D38"/>
    <mergeCell ref="A33:D33"/>
    <mergeCell ref="A34:D34"/>
    <mergeCell ref="A35:D35"/>
    <mergeCell ref="A36:D36"/>
    <mergeCell ref="A37:D37"/>
    <mergeCell ref="B7:D7"/>
    <mergeCell ref="B8:D8"/>
    <mergeCell ref="B9:D9"/>
    <mergeCell ref="A31:D31"/>
    <mergeCell ref="A32:D32"/>
    <mergeCell ref="A1:D1"/>
    <mergeCell ref="A2:D2"/>
    <mergeCell ref="A3:D3"/>
    <mergeCell ref="A5:D5"/>
    <mergeCell ref="B6:D6"/>
  </mergeCells>
  <hyperlinks>
    <hyperlink ref="B12" r:id="rId1" location="'PC-01%20Pending%20Request%20Queue'!A1" xr:uid="{00000000-0004-0000-0000-000000000000}"/>
    <hyperlink ref="B13" r:id="rId2" location="'PC-02%20Method%20&amp;%20Classification'!A1" xr:uid="{00000000-0004-0000-0000-000001000000}"/>
    <hyperlink ref="B14" r:id="rId3" location="'PC-03%20Bid%20Comparison'!A1" xr:uid="{00000000-0004-0000-0000-000002000000}"/>
    <hyperlink ref="B15" r:id="rId4" location="'PC-04%20PO%20&amp;%20Contract'!A1" xr:uid="{00000000-0004-0000-0000-000003000000}"/>
    <hyperlink ref="B16" r:id="rId5" location="'PC-05%20Security%20Deposit%20Action'!A1" xr:uid="{00000000-0004-0000-0000-000004000000}"/>
    <hyperlink ref="B17" r:id="rId6" location="'PC-06%20Security%20Deposit%20Ledger'!A1" xr:uid="{00000000-0004-0000-0000-000005000000}"/>
    <hyperlink ref="B18" r:id="rId7" location="'PC-07%20Implementation%20Tracker'!A1" xr:uid="{00000000-0004-0000-0000-000006000000}"/>
    <hyperlink ref="B19" r:id="rId8" location="'PC-08%20Extension%20Request'!A1" xr:uid="{00000000-0004-0000-0000-000007000000}"/>
    <hyperlink ref="B20" r:id="rId9" location="'PC-09%20Project%20Handover'!A1" xr:uid="{00000000-0004-0000-0000-000008000000}"/>
    <hyperlink ref="B21" r:id="rId10" location="'PC-10%20IC%20Verification'!A1" xr:uid="{00000000-0004-0000-0000-000009000000}"/>
    <hyperlink ref="B22" r:id="rId11" location="'PC-11%20Contract%20Register'!A1" xr:uid="{00000000-0004-0000-0000-00000A000000}"/>
    <hyperlink ref="B23" r:id="rId12" location="'PC-12%20Supplier%20Master'!A1" xr:uid="{00000000-0004-0000-0000-00000B000000}"/>
    <hyperlink ref="B24" r:id="rId13" location="'PC-13%20Classifications'!A1" xr:uid="{00000000-0004-0000-0000-00000C000000}"/>
    <hyperlink ref="B25" r:id="rId14" location="'PC-14%20Thresholds%20Config'!A1" xr:uid="{00000000-0004-0000-0000-00000D000000}"/>
    <hyperlink ref="B26" r:id="rId15" location="'PC-15%20Correction%20Request'!A1" xr:uid="{00000000-0004-0000-0000-00000E000000}"/>
    <hyperlink ref="B27" r:id="rId16" location="'PC-16%20Approval%20Matrix'!A1" xr:uid="{00000000-0004-0000-0000-00000F000000}"/>
    <hyperlink ref="B28" r:id="rId17" location="'PC-17%20Accounting%20Entries'!A1" xr:uid="{00000000-0004-0000-0000-000010000000}"/>
    <hyperlink ref="B29" r:id="rId18" location="'PC-18%20Reports%20Spec'!A1" xr:uid="{00000000-0004-0000-0000-000011000000}"/>
  </hyperlinks>
  <pageMargins left="0.5" right="0.5" top="1" bottom="1" header="0.511811023622047" footer="0.5"/>
  <pageSetup paperSize="9" fitToHeight="0" orientation="landscape" horizontalDpi="300" verticalDpi="300"/>
  <headerFooter>
    <oddFooter>&amp;LIndex | Crest Point Consulting Group&amp;CPage &amp;P of &amp;N&amp;RStrictly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pageSetUpPr fitToPage="1"/>
  </sheetPr>
  <dimension ref="A1:I26"/>
  <sheetViews>
    <sheetView showGridLines="0" zoomScaleNormal="100" workbookViewId="0">
      <pane ySplit="5" topLeftCell="A6" activePane="bottomLeft" state="frozen"/>
      <selection pane="bottomLeft"/>
    </sheetView>
  </sheetViews>
  <sheetFormatPr defaultColWidth="8.68359375" defaultRowHeight="14.4" x14ac:dyDescent="0.55000000000000004"/>
  <cols>
    <col min="1" max="1" width="16" customWidth="1"/>
    <col min="2" max="2" width="24" customWidth="1"/>
    <col min="3" max="3" width="40" customWidth="1"/>
    <col min="4" max="4" width="14" customWidth="1"/>
    <col min="5" max="5" width="16" customWidth="1"/>
    <col min="6" max="7" width="18" customWidth="1"/>
    <col min="8" max="8" width="26" customWidth="1"/>
    <col min="9" max="9" width="22" customWidth="1"/>
  </cols>
  <sheetData>
    <row r="1" spans="1:9" ht="30.75" customHeight="1" x14ac:dyDescent="0.55000000000000004">
      <c r="A1" s="6" t="s">
        <v>95</v>
      </c>
      <c r="B1" s="6"/>
      <c r="C1" s="5" t="s">
        <v>0</v>
      </c>
      <c r="D1" s="5"/>
      <c r="E1" s="5"/>
      <c r="F1" s="5"/>
      <c r="G1" s="5"/>
      <c r="H1" s="5"/>
      <c r="I1" s="5"/>
    </row>
    <row r="2" spans="1:9" ht="21.75" customHeight="1" x14ac:dyDescent="0.55000000000000004">
      <c r="A2" s="6"/>
      <c r="B2" s="6"/>
      <c r="C2" s="4" t="s">
        <v>96</v>
      </c>
      <c r="D2" s="4"/>
      <c r="E2" s="4"/>
      <c r="F2" s="4"/>
      <c r="G2" s="4"/>
      <c r="H2" s="4"/>
      <c r="I2" s="4"/>
    </row>
    <row r="3" spans="1:9" ht="21.75" customHeight="1" x14ac:dyDescent="0.55000000000000004">
      <c r="A3" s="6"/>
      <c r="B3" s="6"/>
      <c r="C3" s="3" t="s">
        <v>97</v>
      </c>
      <c r="D3" s="3"/>
      <c r="E3" s="3"/>
      <c r="F3" s="3"/>
      <c r="G3" s="3"/>
      <c r="H3" s="3"/>
      <c r="I3" s="3"/>
    </row>
    <row r="5" spans="1:9" ht="51.75" customHeight="1" x14ac:dyDescent="0.55000000000000004">
      <c r="A5" s="19" t="s">
        <v>98</v>
      </c>
      <c r="B5" s="19" t="s">
        <v>99</v>
      </c>
      <c r="C5" s="19" t="s">
        <v>100</v>
      </c>
      <c r="D5" s="19" t="s">
        <v>101</v>
      </c>
      <c r="E5" s="19" t="s">
        <v>102</v>
      </c>
      <c r="F5" s="19" t="s">
        <v>103</v>
      </c>
      <c r="G5" s="19" t="s">
        <v>104</v>
      </c>
      <c r="H5" s="19" t="s">
        <v>105</v>
      </c>
      <c r="I5" s="19" t="s">
        <v>106</v>
      </c>
    </row>
    <row r="6" spans="1:9" ht="24" customHeight="1" x14ac:dyDescent="0.55000000000000004">
      <c r="A6" s="23" t="s">
        <v>107</v>
      </c>
      <c r="B6" s="23" t="s">
        <v>108</v>
      </c>
      <c r="C6" s="23" t="s">
        <v>109</v>
      </c>
      <c r="D6" s="24">
        <v>46303</v>
      </c>
      <c r="E6" s="23" t="s">
        <v>110</v>
      </c>
      <c r="F6" s="23" t="s">
        <v>111</v>
      </c>
      <c r="G6" s="23" t="s">
        <v>111</v>
      </c>
      <c r="H6" s="25" t="str">
        <f t="shared" ref="H6:H17" si="0">IF(A6="","",IF(AND(E6="Approved",F6="Yes",G6="Yes"),"Active queue","Pending ED Approval"))</f>
        <v>Active queue</v>
      </c>
      <c r="I6" s="16" t="str">
        <f t="shared" ref="I6:I17" si="1">IF(A6="","",IF(H6="Active queue","Yes","No - held"))</f>
        <v>Yes</v>
      </c>
    </row>
    <row r="7" spans="1:9" ht="24" customHeight="1" x14ac:dyDescent="0.55000000000000004">
      <c r="A7" s="23" t="s">
        <v>112</v>
      </c>
      <c r="B7" s="23" t="s">
        <v>113</v>
      </c>
      <c r="C7" s="23" t="s">
        <v>114</v>
      </c>
      <c r="D7" s="24">
        <v>46304</v>
      </c>
      <c r="E7" s="23" t="s">
        <v>110</v>
      </c>
      <c r="F7" s="23" t="s">
        <v>111</v>
      </c>
      <c r="G7" s="23" t="s">
        <v>115</v>
      </c>
      <c r="H7" s="25" t="str">
        <f t="shared" si="0"/>
        <v>Pending ED Approval</v>
      </c>
      <c r="I7" s="16" t="str">
        <f t="shared" si="1"/>
        <v>No - held</v>
      </c>
    </row>
    <row r="8" spans="1:9" ht="24" customHeight="1" x14ac:dyDescent="0.55000000000000004">
      <c r="A8" s="23" t="s">
        <v>116</v>
      </c>
      <c r="B8" s="23" t="s">
        <v>117</v>
      </c>
      <c r="C8" s="23" t="s">
        <v>118</v>
      </c>
      <c r="D8" s="24">
        <v>46307</v>
      </c>
      <c r="E8" s="23" t="s">
        <v>110</v>
      </c>
      <c r="F8" s="23" t="s">
        <v>111</v>
      </c>
      <c r="G8" s="23" t="s">
        <v>111</v>
      </c>
      <c r="H8" s="25" t="str">
        <f t="shared" si="0"/>
        <v>Active queue</v>
      </c>
      <c r="I8" s="16" t="str">
        <f t="shared" si="1"/>
        <v>Yes</v>
      </c>
    </row>
    <row r="9" spans="1:9" ht="24" customHeight="1" x14ac:dyDescent="0.55000000000000004">
      <c r="A9" s="23" t="s">
        <v>119</v>
      </c>
      <c r="B9" s="23" t="s">
        <v>120</v>
      </c>
      <c r="C9" s="23" t="s">
        <v>121</v>
      </c>
      <c r="D9" s="24">
        <v>46308</v>
      </c>
      <c r="E9" s="23" t="s">
        <v>110</v>
      </c>
      <c r="F9" s="23" t="s">
        <v>115</v>
      </c>
      <c r="G9" s="23" t="s">
        <v>115</v>
      </c>
      <c r="H9" s="25" t="str">
        <f t="shared" si="0"/>
        <v>Pending ED Approval</v>
      </c>
      <c r="I9" s="16" t="str">
        <f t="shared" si="1"/>
        <v>No - held</v>
      </c>
    </row>
    <row r="10" spans="1:9" ht="24" customHeight="1" x14ac:dyDescent="0.55000000000000004">
      <c r="A10" s="15"/>
      <c r="B10" s="15"/>
      <c r="C10" s="15"/>
      <c r="D10" s="15"/>
      <c r="E10" s="15"/>
      <c r="F10" s="15"/>
      <c r="G10" s="15"/>
      <c r="H10" s="25" t="str">
        <f t="shared" si="0"/>
        <v/>
      </c>
      <c r="I10" s="16" t="str">
        <f t="shared" si="1"/>
        <v/>
      </c>
    </row>
    <row r="11" spans="1:9" ht="24" customHeight="1" x14ac:dyDescent="0.55000000000000004">
      <c r="A11" s="15"/>
      <c r="B11" s="15"/>
      <c r="C11" s="15"/>
      <c r="D11" s="15"/>
      <c r="E11" s="15"/>
      <c r="F11" s="15"/>
      <c r="G11" s="15"/>
      <c r="H11" s="25" t="str">
        <f t="shared" si="0"/>
        <v/>
      </c>
      <c r="I11" s="16" t="str">
        <f t="shared" si="1"/>
        <v/>
      </c>
    </row>
    <row r="12" spans="1:9" ht="24" customHeight="1" x14ac:dyDescent="0.55000000000000004">
      <c r="A12" s="15"/>
      <c r="B12" s="15"/>
      <c r="C12" s="15"/>
      <c r="D12" s="15"/>
      <c r="E12" s="15"/>
      <c r="F12" s="15"/>
      <c r="G12" s="15"/>
      <c r="H12" s="25" t="str">
        <f t="shared" si="0"/>
        <v/>
      </c>
      <c r="I12" s="16" t="str">
        <f t="shared" si="1"/>
        <v/>
      </c>
    </row>
    <row r="13" spans="1:9" ht="24" customHeight="1" x14ac:dyDescent="0.55000000000000004">
      <c r="A13" s="15"/>
      <c r="B13" s="15"/>
      <c r="C13" s="15"/>
      <c r="D13" s="15"/>
      <c r="E13" s="15"/>
      <c r="F13" s="15"/>
      <c r="G13" s="15"/>
      <c r="H13" s="25" t="str">
        <f t="shared" si="0"/>
        <v/>
      </c>
      <c r="I13" s="16" t="str">
        <f t="shared" si="1"/>
        <v/>
      </c>
    </row>
    <row r="14" spans="1:9" ht="24" customHeight="1" x14ac:dyDescent="0.55000000000000004">
      <c r="A14" s="15"/>
      <c r="B14" s="15"/>
      <c r="C14" s="15"/>
      <c r="D14" s="15"/>
      <c r="E14" s="15"/>
      <c r="F14" s="15"/>
      <c r="G14" s="15"/>
      <c r="H14" s="25" t="str">
        <f t="shared" si="0"/>
        <v/>
      </c>
      <c r="I14" s="16" t="str">
        <f t="shared" si="1"/>
        <v/>
      </c>
    </row>
    <row r="15" spans="1:9" ht="24" customHeight="1" x14ac:dyDescent="0.55000000000000004">
      <c r="A15" s="15"/>
      <c r="B15" s="15"/>
      <c r="C15" s="15"/>
      <c r="D15" s="15"/>
      <c r="E15" s="15"/>
      <c r="F15" s="15"/>
      <c r="G15" s="15"/>
      <c r="H15" s="25" t="str">
        <f t="shared" si="0"/>
        <v/>
      </c>
      <c r="I15" s="16" t="str">
        <f t="shared" si="1"/>
        <v/>
      </c>
    </row>
    <row r="16" spans="1:9" ht="24" customHeight="1" x14ac:dyDescent="0.55000000000000004">
      <c r="A16" s="15"/>
      <c r="B16" s="15"/>
      <c r="C16" s="15"/>
      <c r="D16" s="15"/>
      <c r="E16" s="15"/>
      <c r="F16" s="15"/>
      <c r="G16" s="15"/>
      <c r="H16" s="25" t="str">
        <f t="shared" si="0"/>
        <v/>
      </c>
      <c r="I16" s="16" t="str">
        <f t="shared" si="1"/>
        <v/>
      </c>
    </row>
    <row r="17" spans="1:9" ht="24" customHeight="1" x14ac:dyDescent="0.55000000000000004">
      <c r="A17" s="15"/>
      <c r="B17" s="15"/>
      <c r="C17" s="15"/>
      <c r="D17" s="15"/>
      <c r="E17" s="15"/>
      <c r="F17" s="15"/>
      <c r="G17" s="15"/>
      <c r="H17" s="25" t="str">
        <f t="shared" si="0"/>
        <v/>
      </c>
      <c r="I17" s="16" t="str">
        <f t="shared" si="1"/>
        <v/>
      </c>
    </row>
    <row r="19" spans="1:9" ht="18" customHeight="1" x14ac:dyDescent="0.55000000000000004">
      <c r="A19" s="9" t="s">
        <v>122</v>
      </c>
      <c r="B19" s="9"/>
      <c r="C19" s="9"/>
      <c r="D19" s="16">
        <f>COUNTIF(H6:H17,"Active queue")</f>
        <v>2</v>
      </c>
    </row>
    <row r="20" spans="1:9" ht="18" customHeight="1" x14ac:dyDescent="0.55000000000000004">
      <c r="A20" s="9" t="s">
        <v>123</v>
      </c>
      <c r="B20" s="9"/>
      <c r="C20" s="9"/>
      <c r="D20" s="16">
        <f>COUNTIF(H6:H17,"Pending ED Approval")</f>
        <v>2</v>
      </c>
    </row>
    <row r="22" spans="1:9" ht="18" customHeight="1" x14ac:dyDescent="0.55000000000000004">
      <c r="A22" s="9" t="s">
        <v>124</v>
      </c>
      <c r="B22" s="9"/>
      <c r="C22" s="9"/>
      <c r="D22" s="9"/>
      <c r="E22" s="9"/>
      <c r="F22" s="9"/>
      <c r="G22" s="9"/>
      <c r="H22" s="9"/>
      <c r="I22" s="9"/>
    </row>
    <row r="23" spans="1:9" ht="33.75" customHeight="1" x14ac:dyDescent="0.55000000000000004">
      <c r="A23" s="7" t="s">
        <v>125</v>
      </c>
      <c r="B23" s="7"/>
      <c r="C23" s="7"/>
      <c r="D23" s="7"/>
      <c r="E23" s="7"/>
      <c r="F23" s="7"/>
      <c r="G23" s="7"/>
      <c r="H23" s="7"/>
      <c r="I23" s="7"/>
    </row>
    <row r="24" spans="1:9" ht="33.75" customHeight="1" x14ac:dyDescent="0.55000000000000004">
      <c r="A24" s="7" t="s">
        <v>126</v>
      </c>
      <c r="B24" s="7"/>
      <c r="C24" s="7"/>
      <c r="D24" s="7"/>
      <c r="E24" s="7"/>
      <c r="F24" s="7"/>
      <c r="G24" s="7"/>
      <c r="H24" s="7"/>
      <c r="I24" s="7"/>
    </row>
    <row r="25" spans="1:9" ht="33.75" customHeight="1" x14ac:dyDescent="0.55000000000000004">
      <c r="A25" s="7" t="s">
        <v>127</v>
      </c>
      <c r="B25" s="7"/>
      <c r="C25" s="7"/>
      <c r="D25" s="7"/>
      <c r="E25" s="7"/>
      <c r="F25" s="7"/>
      <c r="G25" s="7"/>
      <c r="H25" s="7"/>
      <c r="I25" s="7"/>
    </row>
    <row r="26" spans="1:9" ht="33.75" customHeight="1" x14ac:dyDescent="0.55000000000000004">
      <c r="A26" s="7" t="s">
        <v>128</v>
      </c>
      <c r="B26" s="7"/>
      <c r="C26" s="7"/>
      <c r="D26" s="7"/>
      <c r="E26" s="7"/>
      <c r="F26" s="7"/>
      <c r="G26" s="7"/>
      <c r="H26" s="7"/>
      <c r="I26" s="7"/>
    </row>
  </sheetData>
  <mergeCells count="11">
    <mergeCell ref="A26:I26"/>
    <mergeCell ref="A20:C20"/>
    <mergeCell ref="A22:I22"/>
    <mergeCell ref="A23:I23"/>
    <mergeCell ref="A24:I24"/>
    <mergeCell ref="A25:I25"/>
    <mergeCell ref="A1:B3"/>
    <mergeCell ref="C1:I1"/>
    <mergeCell ref="C2:I2"/>
    <mergeCell ref="C3:I3"/>
    <mergeCell ref="A19:C19"/>
  </mergeCells>
  <dataValidations count="2">
    <dataValidation type="list" allowBlank="1" sqref="E6:E17" xr:uid="{00000000-0002-0000-0100-000000000000}">
      <formula1>"Approved,Pending"</formula1>
      <formula2>0</formula2>
    </dataValidation>
    <dataValidation type="list" allowBlank="1" sqref="F6:G17" xr:uid="{00000000-0002-0000-0100-000001000000}">
      <formula1>"Yes,No"</formula1>
      <formula2>0</formula2>
    </dataValidation>
  </dataValidations>
  <pageMargins left="0.5" right="0.5" top="1" bottom="1" header="0.511811023622047" footer="0.5"/>
  <pageSetup paperSize="9" fitToHeight="0" orientation="landscape" horizontalDpi="300" verticalDpi="300"/>
  <headerFooter>
    <oddFooter>&amp;LPC-01 | Crest Point Consulting Group&amp;CPage &amp;P of &amp;N&amp;RStrictly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pageSetUpPr fitToPage="1"/>
  </sheetPr>
  <dimension ref="A1:F28"/>
  <sheetViews>
    <sheetView showGridLines="0" zoomScaleNormal="100" workbookViewId="0"/>
  </sheetViews>
  <sheetFormatPr defaultColWidth="8.68359375" defaultRowHeight="14.4" x14ac:dyDescent="0.55000000000000004"/>
  <cols>
    <col min="1" max="1" width="7" customWidth="1"/>
    <col min="2" max="2" width="16" customWidth="1"/>
    <col min="3" max="3" width="32" customWidth="1"/>
    <col min="4" max="4" width="36" customWidth="1"/>
    <col min="5" max="6" width="17" customWidth="1"/>
  </cols>
  <sheetData>
    <row r="1" spans="1:6" ht="43.5" customHeight="1" x14ac:dyDescent="0.55000000000000004">
      <c r="A1" s="6" t="s">
        <v>95</v>
      </c>
      <c r="B1" s="6"/>
      <c r="C1" s="5" t="s">
        <v>0</v>
      </c>
      <c r="D1" s="5"/>
      <c r="E1" s="5"/>
      <c r="F1" s="5"/>
    </row>
    <row r="2" spans="1:6" ht="21.75" customHeight="1" x14ac:dyDescent="0.55000000000000004">
      <c r="A2" s="6"/>
      <c r="B2" s="6"/>
      <c r="C2" s="4" t="s">
        <v>129</v>
      </c>
      <c r="D2" s="4"/>
      <c r="E2" s="4"/>
      <c r="F2" s="4"/>
    </row>
    <row r="3" spans="1:6" ht="30.75" customHeight="1" x14ac:dyDescent="0.55000000000000004">
      <c r="A3" s="6"/>
      <c r="B3" s="6"/>
      <c r="C3" s="3" t="s">
        <v>130</v>
      </c>
      <c r="D3" s="3"/>
      <c r="E3" s="3"/>
      <c r="F3" s="3"/>
    </row>
    <row r="5" spans="1:6" ht="18" customHeight="1" x14ac:dyDescent="0.55000000000000004">
      <c r="A5" s="2" t="s">
        <v>131</v>
      </c>
      <c r="B5" s="2"/>
      <c r="C5" s="2"/>
      <c r="D5" s="2"/>
      <c r="E5" s="2"/>
      <c r="F5" s="2"/>
    </row>
    <row r="6" spans="1:6" ht="19.5" customHeight="1" x14ac:dyDescent="0.55000000000000004">
      <c r="A6" s="9" t="s">
        <v>98</v>
      </c>
      <c r="B6" s="9"/>
      <c r="C6" s="25" t="s">
        <v>107</v>
      </c>
      <c r="D6" s="13" t="s">
        <v>99</v>
      </c>
      <c r="E6" s="1" t="s">
        <v>108</v>
      </c>
      <c r="F6" s="1"/>
    </row>
    <row r="7" spans="1:6" ht="30.75" customHeight="1" x14ac:dyDescent="0.55000000000000004">
      <c r="A7" s="9" t="s">
        <v>132</v>
      </c>
      <c r="B7" s="9"/>
      <c r="C7" s="25" t="s">
        <v>109</v>
      </c>
      <c r="D7" s="13" t="s">
        <v>133</v>
      </c>
      <c r="E7" s="41">
        <v>420000</v>
      </c>
      <c r="F7" s="41"/>
    </row>
    <row r="8" spans="1:6" ht="19.5" customHeight="1" x14ac:dyDescent="0.55000000000000004">
      <c r="A8" s="9" t="s">
        <v>134</v>
      </c>
      <c r="B8" s="9"/>
      <c r="C8" s="23" t="s">
        <v>135</v>
      </c>
      <c r="D8" s="13" t="s">
        <v>136</v>
      </c>
      <c r="E8" s="42" t="s">
        <v>137</v>
      </c>
      <c r="F8" s="42"/>
    </row>
    <row r="10" spans="1:6" ht="18" customHeight="1" x14ac:dyDescent="0.55000000000000004">
      <c r="A10" s="2" t="s">
        <v>138</v>
      </c>
      <c r="B10" s="2"/>
      <c r="C10" s="2"/>
      <c r="D10" s="2"/>
      <c r="E10" s="2"/>
      <c r="F10" s="2"/>
    </row>
    <row r="11" spans="1:6" ht="30.75" customHeight="1" x14ac:dyDescent="0.55000000000000004">
      <c r="A11" s="9" t="s">
        <v>139</v>
      </c>
      <c r="B11" s="9"/>
      <c r="C11" s="25" t="str">
        <f>IF(E7&lt;='PC-14 Thresholds Config'!$C$8,"Direct Purchase",IF(AND('PC-14 Thresholds Config'!$C$10&lt;&gt;"",E7&gt;='PC-14 Thresholds Config'!$C$10),"Tender","Quotation-Based"))</f>
        <v>Quotation-Based</v>
      </c>
      <c r="D11" s="13" t="s">
        <v>140</v>
      </c>
      <c r="E11" s="1" t="str">
        <f>IF(C8=C11,"Yes","NO - review method against threshold")</f>
        <v>Yes</v>
      </c>
      <c r="F11" s="1"/>
    </row>
    <row r="12" spans="1:6" ht="43.5" customHeight="1" x14ac:dyDescent="0.55000000000000004">
      <c r="A12" s="9" t="s">
        <v>141</v>
      </c>
      <c r="B12" s="9"/>
      <c r="C12" s="25" t="str">
        <f>IF(E7&lt;='PC-14 Thresholds Config'!$C$13,"Executive Director",IF(E7&lt;='PC-14 Thresholds Config'!$C$14,"General Directorate","National Procurement Authority"))</f>
        <v>Executive Director</v>
      </c>
      <c r="D12" s="13" t="s">
        <v>142</v>
      </c>
      <c r="E12" s="42" t="s">
        <v>143</v>
      </c>
      <c r="F12" s="42"/>
    </row>
    <row r="14" spans="1:6" ht="18" customHeight="1" x14ac:dyDescent="0.55000000000000004">
      <c r="A14" s="2" t="s">
        <v>144</v>
      </c>
      <c r="B14" s="2"/>
      <c r="C14" s="2"/>
      <c r="D14" s="2"/>
      <c r="E14" s="2"/>
      <c r="F14" s="2"/>
    </row>
    <row r="15" spans="1:6" ht="43.5" customHeight="1" x14ac:dyDescent="0.55000000000000004">
      <c r="A15" s="9" t="s">
        <v>145</v>
      </c>
      <c r="B15" s="9"/>
      <c r="C15" s="23" t="s">
        <v>146</v>
      </c>
      <c r="D15" s="13" t="s">
        <v>147</v>
      </c>
      <c r="E15" s="1" t="s">
        <v>148</v>
      </c>
      <c r="F15" s="1"/>
    </row>
    <row r="16" spans="1:6" ht="30" customHeight="1" x14ac:dyDescent="0.55000000000000004">
      <c r="A16" s="9" t="s">
        <v>149</v>
      </c>
      <c r="B16" s="9"/>
      <c r="C16" s="1" t="str">
        <f>IF(C8="Direct Purchase","Record purchase order (PC-04) - no competing bids required","Record competing bids and written justification (PC-03), then the purchase order (PC-04)")</f>
        <v>Record competing bids and written justification (PC-03), then the purchase order (PC-04)</v>
      </c>
      <c r="D16" s="1"/>
      <c r="E16" s="1"/>
      <c r="F16" s="1"/>
    </row>
    <row r="18" spans="1:6" ht="30.75" customHeight="1" x14ac:dyDescent="0.55000000000000004">
      <c r="A18" s="43" t="s">
        <v>150</v>
      </c>
      <c r="B18" s="43"/>
      <c r="C18" s="43"/>
      <c r="D18" s="43"/>
      <c r="E18" s="43"/>
      <c r="F18" s="43"/>
    </row>
    <row r="19" spans="1:6" ht="19.5" customHeight="1" x14ac:dyDescent="0.55000000000000004">
      <c r="A19" s="8" t="s">
        <v>151</v>
      </c>
      <c r="B19" s="8"/>
      <c r="C19" s="8"/>
      <c r="D19" s="8"/>
      <c r="E19" s="8"/>
      <c r="F19" s="8"/>
    </row>
    <row r="20" spans="1:6" ht="19.5" customHeight="1" x14ac:dyDescent="0.55000000000000004">
      <c r="A20" s="8" t="s">
        <v>152</v>
      </c>
      <c r="B20" s="8"/>
      <c r="C20" s="8"/>
      <c r="D20" s="8"/>
      <c r="E20" s="8"/>
      <c r="F20" s="8"/>
    </row>
    <row r="21" spans="1:6" ht="43.5" customHeight="1" x14ac:dyDescent="0.55000000000000004">
      <c r="A21" s="44" t="s">
        <v>153</v>
      </c>
      <c r="B21" s="44"/>
      <c r="C21" s="44"/>
      <c r="D21" s="44"/>
      <c r="E21" s="44"/>
      <c r="F21" s="44"/>
    </row>
    <row r="22" spans="1:6" ht="19.5" customHeight="1" x14ac:dyDescent="0.55000000000000004">
      <c r="A22" s="8" t="s">
        <v>154</v>
      </c>
      <c r="B22" s="8"/>
      <c r="C22" s="8"/>
      <c r="D22" s="8"/>
      <c r="E22" s="8"/>
      <c r="F22" s="8"/>
    </row>
    <row r="24" spans="1:6" ht="18" customHeight="1" x14ac:dyDescent="0.55000000000000004">
      <c r="A24" s="9" t="s">
        <v>124</v>
      </c>
      <c r="B24" s="9"/>
      <c r="C24" s="9"/>
      <c r="D24" s="9"/>
      <c r="E24" s="9"/>
      <c r="F24" s="9"/>
    </row>
    <row r="25" spans="1:6" ht="43.5" customHeight="1" x14ac:dyDescent="0.55000000000000004">
      <c r="A25" s="7" t="s">
        <v>155</v>
      </c>
      <c r="B25" s="7"/>
      <c r="C25" s="7"/>
      <c r="D25" s="7"/>
      <c r="E25" s="7"/>
      <c r="F25" s="7"/>
    </row>
    <row r="26" spans="1:6" ht="43.5" customHeight="1" x14ac:dyDescent="0.55000000000000004">
      <c r="A26" s="7" t="s">
        <v>156</v>
      </c>
      <c r="B26" s="7"/>
      <c r="C26" s="7"/>
      <c r="D26" s="7"/>
      <c r="E26" s="7"/>
      <c r="F26" s="7"/>
    </row>
    <row r="27" spans="1:6" ht="36" customHeight="1" x14ac:dyDescent="0.55000000000000004">
      <c r="A27" s="7" t="s">
        <v>157</v>
      </c>
      <c r="B27" s="7"/>
      <c r="C27" s="7"/>
      <c r="D27" s="7"/>
      <c r="E27" s="7"/>
      <c r="F27" s="7"/>
    </row>
    <row r="28" spans="1:6" ht="36" customHeight="1" x14ac:dyDescent="0.55000000000000004">
      <c r="A28" s="7" t="s">
        <v>158</v>
      </c>
      <c r="B28" s="7"/>
      <c r="C28" s="7"/>
      <c r="D28" s="7"/>
      <c r="E28" s="7"/>
      <c r="F28" s="7"/>
    </row>
  </sheetData>
  <mergeCells count="31">
    <mergeCell ref="A24:F24"/>
    <mergeCell ref="A25:F25"/>
    <mergeCell ref="A26:F26"/>
    <mergeCell ref="A27:F27"/>
    <mergeCell ref="A28:F28"/>
    <mergeCell ref="A18:F18"/>
    <mergeCell ref="A19:F19"/>
    <mergeCell ref="A20:F20"/>
    <mergeCell ref="A21:F21"/>
    <mergeCell ref="A22:F22"/>
    <mergeCell ref="A14:F14"/>
    <mergeCell ref="A15:B15"/>
    <mergeCell ref="E15:F15"/>
    <mergeCell ref="A16:B16"/>
    <mergeCell ref="C16:F16"/>
    <mergeCell ref="A10:F10"/>
    <mergeCell ref="A11:B11"/>
    <mergeCell ref="E11:F11"/>
    <mergeCell ref="A12:B12"/>
    <mergeCell ref="E12:F12"/>
    <mergeCell ref="A6:B6"/>
    <mergeCell ref="E6:F6"/>
    <mergeCell ref="A7:B7"/>
    <mergeCell ref="E7:F7"/>
    <mergeCell ref="A8:B8"/>
    <mergeCell ref="E8:F8"/>
    <mergeCell ref="A1:B3"/>
    <mergeCell ref="C1:F1"/>
    <mergeCell ref="C2:F2"/>
    <mergeCell ref="C3:F3"/>
    <mergeCell ref="A5:F5"/>
  </mergeCells>
  <dataValidations count="2">
    <dataValidation type="list" allowBlank="1" sqref="C8" xr:uid="{00000000-0002-0000-0200-000000000000}">
      <formula1>"Tender,Quotation-Based,Direct Purchase"</formula1>
      <formula2>0</formula2>
    </dataValidation>
    <dataValidation type="list" allowBlank="1" sqref="E8" xr:uid="{00000000-0002-0000-0200-000001000000}">
      <formula1>"Goods,Consultancy,Non-Consultancy,Construction,(custom classes added by Procurement Head)"</formula1>
      <formula2>0</formula2>
    </dataValidation>
  </dataValidations>
  <pageMargins left="0.5" right="0.5" top="1" bottom="1" header="0.511811023622047" footer="0.5"/>
  <pageSetup paperSize="9" fitToHeight="0" orientation="portrait" horizontalDpi="300" verticalDpi="300"/>
  <headerFooter>
    <oddFooter>&amp;LPC-02 | Crest Point Consulting Group&amp;CPage &amp;P of &amp;N&amp;RStrictly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pageSetUpPr fitToPage="1"/>
  </sheetPr>
  <dimension ref="A1:F34"/>
  <sheetViews>
    <sheetView showGridLines="0" zoomScaleNormal="100" workbookViewId="0"/>
  </sheetViews>
  <sheetFormatPr defaultColWidth="8.68359375" defaultRowHeight="14.4" x14ac:dyDescent="0.55000000000000004"/>
  <cols>
    <col min="1" max="1" width="6" customWidth="1"/>
    <col min="2" max="2" width="34" customWidth="1"/>
    <col min="3" max="3" width="18" customWidth="1"/>
    <col min="4" max="4" width="24" customWidth="1"/>
    <col min="5" max="5" width="22" customWidth="1"/>
    <col min="6" max="6" width="14" customWidth="1"/>
  </cols>
  <sheetData>
    <row r="1" spans="1:6" ht="43.5" customHeight="1" x14ac:dyDescent="0.55000000000000004">
      <c r="A1" s="6" t="s">
        <v>95</v>
      </c>
      <c r="B1" s="6"/>
      <c r="C1" s="5" t="s">
        <v>0</v>
      </c>
      <c r="D1" s="5"/>
      <c r="E1" s="5"/>
      <c r="F1" s="5"/>
    </row>
    <row r="2" spans="1:6" ht="21.75" customHeight="1" x14ac:dyDescent="0.55000000000000004">
      <c r="A2" s="6"/>
      <c r="B2" s="6"/>
      <c r="C2" s="4" t="s">
        <v>159</v>
      </c>
      <c r="D2" s="4"/>
      <c r="E2" s="4"/>
      <c r="F2" s="4"/>
    </row>
    <row r="3" spans="1:6" ht="30.75" customHeight="1" x14ac:dyDescent="0.55000000000000004">
      <c r="A3" s="6"/>
      <c r="B3" s="6"/>
      <c r="C3" s="3" t="s">
        <v>160</v>
      </c>
      <c r="D3" s="3"/>
      <c r="E3" s="3"/>
      <c r="F3" s="3"/>
    </row>
    <row r="5" spans="1:6" ht="18" customHeight="1" x14ac:dyDescent="0.55000000000000004">
      <c r="A5" s="2" t="s">
        <v>161</v>
      </c>
      <c r="B5" s="2"/>
      <c r="C5" s="2"/>
      <c r="D5" s="2"/>
      <c r="E5" s="2"/>
      <c r="F5" s="2"/>
    </row>
    <row r="6" spans="1:6" ht="19.5" customHeight="1" x14ac:dyDescent="0.55000000000000004">
      <c r="A6" s="9" t="s">
        <v>98</v>
      </c>
      <c r="B6" s="9"/>
      <c r="C6" s="25" t="s">
        <v>107</v>
      </c>
      <c r="D6" s="13" t="s">
        <v>134</v>
      </c>
      <c r="E6" s="1" t="s">
        <v>135</v>
      </c>
      <c r="F6" s="1"/>
    </row>
    <row r="7" spans="1:6" ht="30.75" customHeight="1" x14ac:dyDescent="0.55000000000000004">
      <c r="A7" s="9" t="s">
        <v>162</v>
      </c>
      <c r="B7" s="9"/>
      <c r="C7" s="25" t="s">
        <v>137</v>
      </c>
      <c r="D7" s="13" t="s">
        <v>163</v>
      </c>
      <c r="E7" s="45">
        <f>IF(E6="Direct Purchase",0,'PC-14 Thresholds Config'!$C$11)</f>
        <v>3</v>
      </c>
      <c r="F7" s="45"/>
    </row>
    <row r="8" spans="1:6" ht="43.5" customHeight="1" x14ac:dyDescent="0.55000000000000004">
      <c r="A8" s="9" t="s">
        <v>164</v>
      </c>
      <c r="B8" s="9"/>
      <c r="C8" s="25">
        <f>COUNT(C12:C17)</f>
        <v>4</v>
      </c>
      <c r="D8" s="13" t="s">
        <v>165</v>
      </c>
      <c r="E8" s="41">
        <f t="array" ref="E8">IF(COUNTIF(E12:E17,"Active")=0,"",MIN(IF(E12:E17="Active",C12:C17)))</f>
        <v>420000</v>
      </c>
      <c r="F8" s="41"/>
    </row>
    <row r="10" spans="1:6" ht="18" customHeight="1" x14ac:dyDescent="0.55000000000000004">
      <c r="A10" s="2" t="s">
        <v>166</v>
      </c>
      <c r="B10" s="2"/>
      <c r="C10" s="2"/>
      <c r="D10" s="2"/>
      <c r="E10" s="2"/>
      <c r="F10" s="2"/>
    </row>
    <row r="11" spans="1:6" ht="30.75" customHeight="1" x14ac:dyDescent="0.55000000000000004">
      <c r="A11" s="19" t="s">
        <v>167</v>
      </c>
      <c r="B11" s="19" t="s">
        <v>168</v>
      </c>
      <c r="C11" s="19" t="s">
        <v>169</v>
      </c>
      <c r="D11" s="19" t="s">
        <v>170</v>
      </c>
      <c r="E11" s="19" t="s">
        <v>171</v>
      </c>
      <c r="F11" s="19" t="s">
        <v>172</v>
      </c>
    </row>
    <row r="12" spans="1:6" ht="21.75" customHeight="1" x14ac:dyDescent="0.55000000000000004">
      <c r="A12" s="20">
        <v>1</v>
      </c>
      <c r="B12" s="23" t="s">
        <v>173</v>
      </c>
      <c r="C12" s="29">
        <v>420000</v>
      </c>
      <c r="D12" s="23" t="s">
        <v>174</v>
      </c>
      <c r="E12" s="25" t="str">
        <f>IF(B12="","",IFERROR(INDEX('PC-12 Supplier Master'!$F$7:$F$30,MATCH(B12,'PC-12 Supplier Master'!$B$7:$B$30,0)),"Not in supplier master"))</f>
        <v>Active</v>
      </c>
      <c r="F12" s="16">
        <f t="shared" ref="F12:F17" si="0">IF(C12="","",IF(E12&lt;&gt;"Active","Ineligible",COUNTIFS($E$12:$E$17,"Active",$C$12:$C$17,"&lt;"&amp;C12)+1))</f>
        <v>1</v>
      </c>
    </row>
    <row r="13" spans="1:6" ht="21.75" customHeight="1" x14ac:dyDescent="0.55000000000000004">
      <c r="A13" s="20">
        <v>2</v>
      </c>
      <c r="B13" s="23" t="s">
        <v>175</v>
      </c>
      <c r="C13" s="29">
        <v>445000</v>
      </c>
      <c r="D13" s="23" t="s">
        <v>176</v>
      </c>
      <c r="E13" s="25" t="str">
        <f>IF(B13="","",IFERROR(INDEX('PC-12 Supplier Master'!$F$7:$F$30,MATCH(B13,'PC-12 Supplier Master'!$B$7:$B$30,0)),"Not in supplier master"))</f>
        <v>Active</v>
      </c>
      <c r="F13" s="16">
        <f t="shared" si="0"/>
        <v>3</v>
      </c>
    </row>
    <row r="14" spans="1:6" ht="21.75" customHeight="1" x14ac:dyDescent="0.55000000000000004">
      <c r="A14" s="20">
        <v>3</v>
      </c>
      <c r="B14" s="23" t="s">
        <v>177</v>
      </c>
      <c r="C14" s="29">
        <v>438000</v>
      </c>
      <c r="D14" s="23" t="s">
        <v>178</v>
      </c>
      <c r="E14" s="25" t="str">
        <f>IF(B14="","",IFERROR(INDEX('PC-12 Supplier Master'!$F$7:$F$30,MATCH(B14,'PC-12 Supplier Master'!$B$7:$B$30,0)),"Not in supplier master"))</f>
        <v>Active</v>
      </c>
      <c r="F14" s="16">
        <f t="shared" si="0"/>
        <v>2</v>
      </c>
    </row>
    <row r="15" spans="1:6" ht="21.75" customHeight="1" x14ac:dyDescent="0.55000000000000004">
      <c r="A15" s="20">
        <v>4</v>
      </c>
      <c r="B15" s="23" t="s">
        <v>179</v>
      </c>
      <c r="C15" s="29">
        <v>400000</v>
      </c>
      <c r="D15" s="23" t="s">
        <v>180</v>
      </c>
      <c r="E15" s="25" t="str">
        <f>IF(B15="","",IFERROR(INDEX('PC-12 Supplier Master'!$F$7:$F$30,MATCH(B15,'PC-12 Supplier Master'!$B$7:$B$30,0)),"Not in supplier master"))</f>
        <v>Blacklisted</v>
      </c>
      <c r="F15" s="16" t="str">
        <f t="shared" si="0"/>
        <v>Ineligible</v>
      </c>
    </row>
    <row r="16" spans="1:6" ht="21.75" customHeight="1" x14ac:dyDescent="0.55000000000000004">
      <c r="A16" s="20">
        <v>5</v>
      </c>
      <c r="B16" s="15"/>
      <c r="C16" s="30"/>
      <c r="D16" s="15"/>
      <c r="E16" s="25" t="str">
        <f>IF(B16="","",IFERROR(INDEX('PC-12 Supplier Master'!$F$7:$F$30,MATCH(B16,'PC-12 Supplier Master'!$B$7:$B$30,0)),"Not in supplier master"))</f>
        <v/>
      </c>
      <c r="F16" s="16" t="str">
        <f t="shared" si="0"/>
        <v/>
      </c>
    </row>
    <row r="17" spans="1:6" ht="21.75" customHeight="1" x14ac:dyDescent="0.55000000000000004">
      <c r="A17" s="20">
        <v>6</v>
      </c>
      <c r="B17" s="15"/>
      <c r="C17" s="30"/>
      <c r="D17" s="15"/>
      <c r="E17" s="25" t="str">
        <f>IF(B17="","",IFERROR(INDEX('PC-12 Supplier Master'!$F$7:$F$30,MATCH(B17,'PC-12 Supplier Master'!$B$7:$B$30,0)),"Not in supplier master"))</f>
        <v/>
      </c>
      <c r="F17" s="16" t="str">
        <f t="shared" si="0"/>
        <v/>
      </c>
    </row>
    <row r="19" spans="1:6" ht="18" customHeight="1" x14ac:dyDescent="0.55000000000000004">
      <c r="A19" s="2" t="s">
        <v>181</v>
      </c>
      <c r="B19" s="2"/>
      <c r="C19" s="2"/>
      <c r="D19" s="2"/>
      <c r="E19" s="2"/>
      <c r="F19" s="2"/>
    </row>
    <row r="20" spans="1:6" ht="30.75" customHeight="1" x14ac:dyDescent="0.55000000000000004">
      <c r="A20" s="9" t="s">
        <v>182</v>
      </c>
      <c r="B20" s="9"/>
      <c r="C20" s="23" t="s">
        <v>173</v>
      </c>
      <c r="D20" s="13" t="s">
        <v>183</v>
      </c>
      <c r="E20" s="41">
        <f>IFERROR(INDEX(C12:C17,MATCH(C20,B12:B17,0)),"")</f>
        <v>420000</v>
      </c>
      <c r="F20" s="41"/>
    </row>
    <row r="21" spans="1:6" ht="30.75" customHeight="1" x14ac:dyDescent="0.55000000000000004">
      <c r="A21" s="9" t="s">
        <v>184</v>
      </c>
      <c r="B21" s="9"/>
      <c r="C21" s="25" t="str">
        <f>IFERROR(INDEX(E12:E17,MATCH(C20,B12:B17,0)),"Not among bidders")</f>
        <v>Active</v>
      </c>
      <c r="D21" s="13" t="s">
        <v>185</v>
      </c>
      <c r="E21" s="1" t="str">
        <f>IF(E20="","",IF(E20=E8,"Yes","No - justification must explain"))</f>
        <v>Yes</v>
      </c>
      <c r="F21" s="1"/>
    </row>
    <row r="22" spans="1:6" ht="39.75" customHeight="1" x14ac:dyDescent="0.55000000000000004">
      <c r="A22" s="9" t="s">
        <v>186</v>
      </c>
      <c r="B22" s="9"/>
      <c r="C22" s="42" t="s">
        <v>187</v>
      </c>
      <c r="D22" s="42"/>
      <c r="E22" s="42"/>
      <c r="F22" s="42"/>
    </row>
    <row r="23" spans="1:6" ht="36" customHeight="1" x14ac:dyDescent="0.55000000000000004">
      <c r="A23" s="9" t="s">
        <v>188</v>
      </c>
      <c r="B23" s="9"/>
      <c r="C23" s="1" t="str">
        <f>IF(E6="Direct Purchase","Not required - Direct Purchase (no competitive process)",IF(C8&lt;E7,"BLOCKED - minimum number of competing bids not recorded",IF(C20="","BLOCKED - winning supplier not selected",IF(C21&lt;&gt;"Active","BLOCKED - winning supplier is not an eligible (Active) supplier",IF(C22="","BLOCKED - written justification for the winning selection is mandatory","READY - bid comparison complete; the purchase order may be finalized")))))</f>
        <v>READY - bid comparison complete; the purchase order may be finalized</v>
      </c>
      <c r="D23" s="1"/>
      <c r="E23" s="1"/>
      <c r="F23" s="1"/>
    </row>
    <row r="25" spans="1:6" ht="30.75" customHeight="1" x14ac:dyDescent="0.55000000000000004">
      <c r="A25" s="43" t="s">
        <v>150</v>
      </c>
      <c r="B25" s="43"/>
      <c r="C25" s="43"/>
      <c r="D25" s="43"/>
      <c r="E25" s="43"/>
      <c r="F25" s="43"/>
    </row>
    <row r="26" spans="1:6" ht="19.5" customHeight="1" x14ac:dyDescent="0.55000000000000004">
      <c r="A26" s="8" t="s">
        <v>151</v>
      </c>
      <c r="B26" s="8"/>
      <c r="C26" s="8"/>
      <c r="D26" s="8"/>
      <c r="E26" s="8"/>
      <c r="F26" s="8"/>
    </row>
    <row r="27" spans="1:6" ht="19.5" customHeight="1" x14ac:dyDescent="0.55000000000000004">
      <c r="A27" s="8" t="s">
        <v>152</v>
      </c>
      <c r="B27" s="8"/>
      <c r="C27" s="8"/>
      <c r="D27" s="8"/>
      <c r="E27" s="8"/>
      <c r="F27" s="8"/>
    </row>
    <row r="28" spans="1:6" ht="43.5" customHeight="1" x14ac:dyDescent="0.55000000000000004">
      <c r="A28" s="44" t="s">
        <v>153</v>
      </c>
      <c r="B28" s="44"/>
      <c r="C28" s="44"/>
      <c r="D28" s="44"/>
      <c r="E28" s="44"/>
      <c r="F28" s="44"/>
    </row>
    <row r="29" spans="1:6" ht="19.5" customHeight="1" x14ac:dyDescent="0.55000000000000004">
      <c r="A29" s="8" t="s">
        <v>154</v>
      </c>
      <c r="B29" s="8"/>
      <c r="C29" s="8"/>
      <c r="D29" s="8"/>
      <c r="E29" s="8"/>
      <c r="F29" s="8"/>
    </row>
    <row r="31" spans="1:6" ht="18" customHeight="1" x14ac:dyDescent="0.55000000000000004">
      <c r="A31" s="9" t="s">
        <v>124</v>
      </c>
      <c r="B31" s="9"/>
      <c r="C31" s="9"/>
      <c r="D31" s="9"/>
      <c r="E31" s="9"/>
      <c r="F31" s="9"/>
    </row>
    <row r="32" spans="1:6" ht="43.5" customHeight="1" x14ac:dyDescent="0.55000000000000004">
      <c r="A32" s="7" t="s">
        <v>189</v>
      </c>
      <c r="B32" s="7"/>
      <c r="C32" s="7"/>
      <c r="D32" s="7"/>
      <c r="E32" s="7"/>
      <c r="F32" s="7"/>
    </row>
    <row r="33" spans="1:6" ht="36" customHeight="1" x14ac:dyDescent="0.55000000000000004">
      <c r="A33" s="7" t="s">
        <v>190</v>
      </c>
      <c r="B33" s="7"/>
      <c r="C33" s="7"/>
      <c r="D33" s="7"/>
      <c r="E33" s="7"/>
      <c r="F33" s="7"/>
    </row>
    <row r="34" spans="1:6" ht="43.5" customHeight="1" x14ac:dyDescent="0.55000000000000004">
      <c r="A34" s="7" t="s">
        <v>191</v>
      </c>
      <c r="B34" s="7"/>
      <c r="C34" s="7"/>
      <c r="D34" s="7"/>
      <c r="E34" s="7"/>
      <c r="F34" s="7"/>
    </row>
  </sheetData>
  <mergeCells count="30">
    <mergeCell ref="A32:F32"/>
    <mergeCell ref="A33:F33"/>
    <mergeCell ref="A34:F34"/>
    <mergeCell ref="A26:F26"/>
    <mergeCell ref="A27:F27"/>
    <mergeCell ref="A28:F28"/>
    <mergeCell ref="A29:F29"/>
    <mergeCell ref="A31:F31"/>
    <mergeCell ref="A22:B22"/>
    <mergeCell ref="C22:F22"/>
    <mergeCell ref="A23:B23"/>
    <mergeCell ref="C23:F23"/>
    <mergeCell ref="A25:F25"/>
    <mergeCell ref="A10:F10"/>
    <mergeCell ref="A19:F19"/>
    <mergeCell ref="A20:B20"/>
    <mergeCell ref="E20:F20"/>
    <mergeCell ref="A21:B21"/>
    <mergeCell ref="E21:F21"/>
    <mergeCell ref="A6:B6"/>
    <mergeCell ref="E6:F6"/>
    <mergeCell ref="A7:B7"/>
    <mergeCell ref="E7:F7"/>
    <mergeCell ref="A8:B8"/>
    <mergeCell ref="E8:F8"/>
    <mergeCell ref="A1:B3"/>
    <mergeCell ref="C1:F1"/>
    <mergeCell ref="C2:F2"/>
    <mergeCell ref="C3:F3"/>
    <mergeCell ref="A5:F5"/>
  </mergeCells>
  <pageMargins left="0.5" right="0.5" top="1" bottom="1" header="0.511811023622047" footer="0.5"/>
  <pageSetup paperSize="9" fitToHeight="0" orientation="portrait" horizontalDpi="300" verticalDpi="300"/>
  <headerFooter>
    <oddFooter>&amp;LPC-03 | Crest Point Consulting Group&amp;CPage &amp;P of &amp;N&amp;RStrictly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pageSetUpPr fitToPage="1"/>
  </sheetPr>
  <dimension ref="A1:F32"/>
  <sheetViews>
    <sheetView showGridLines="0" zoomScaleNormal="100" workbookViewId="0"/>
  </sheetViews>
  <sheetFormatPr defaultColWidth="8.68359375" defaultRowHeight="14.4" x14ac:dyDescent="0.55000000000000004"/>
  <cols>
    <col min="1" max="1" width="7" customWidth="1"/>
    <col min="2" max="2" width="16" customWidth="1"/>
    <col min="3" max="3" width="32" customWidth="1"/>
    <col min="4" max="4" width="36" customWidth="1"/>
    <col min="5" max="6" width="17" customWidth="1"/>
  </cols>
  <sheetData>
    <row r="1" spans="1:6" ht="43.5" customHeight="1" x14ac:dyDescent="0.55000000000000004">
      <c r="A1" s="6" t="s">
        <v>95</v>
      </c>
      <c r="B1" s="6"/>
      <c r="C1" s="5" t="s">
        <v>0</v>
      </c>
      <c r="D1" s="5"/>
      <c r="E1" s="5"/>
      <c r="F1" s="5"/>
    </row>
    <row r="2" spans="1:6" ht="21.75" customHeight="1" x14ac:dyDescent="0.55000000000000004">
      <c r="A2" s="6"/>
      <c r="B2" s="6"/>
      <c r="C2" s="4" t="s">
        <v>192</v>
      </c>
      <c r="D2" s="4"/>
      <c r="E2" s="4"/>
      <c r="F2" s="4"/>
    </row>
    <row r="3" spans="1:6" ht="30.75" customHeight="1" x14ac:dyDescent="0.55000000000000004">
      <c r="A3" s="6"/>
      <c r="B3" s="6"/>
      <c r="C3" s="3" t="s">
        <v>193</v>
      </c>
      <c r="D3" s="3"/>
      <c r="E3" s="3"/>
      <c r="F3" s="3"/>
    </row>
    <row r="5" spans="1:6" ht="18" customHeight="1" x14ac:dyDescent="0.55000000000000004">
      <c r="A5" s="2" t="s">
        <v>194</v>
      </c>
      <c r="B5" s="2"/>
      <c r="C5" s="2"/>
      <c r="D5" s="2"/>
      <c r="E5" s="2"/>
      <c r="F5" s="2"/>
    </row>
    <row r="6" spans="1:6" ht="31.5" customHeight="1" x14ac:dyDescent="0.55000000000000004">
      <c r="A6" s="9" t="s">
        <v>195</v>
      </c>
      <c r="B6" s="9"/>
      <c r="C6" s="25" t="s">
        <v>196</v>
      </c>
      <c r="D6" s="13" t="s">
        <v>197</v>
      </c>
      <c r="E6" s="46">
        <v>46304</v>
      </c>
      <c r="F6" s="46"/>
    </row>
    <row r="7" spans="1:6" ht="31.5" customHeight="1" x14ac:dyDescent="0.55000000000000004">
      <c r="A7" s="9" t="s">
        <v>198</v>
      </c>
      <c r="B7" s="9"/>
      <c r="C7" s="25" t="s">
        <v>107</v>
      </c>
      <c r="D7" s="13" t="s">
        <v>134</v>
      </c>
      <c r="E7" s="1" t="s">
        <v>135</v>
      </c>
      <c r="F7" s="1"/>
    </row>
    <row r="8" spans="1:6" ht="31.5" customHeight="1" x14ac:dyDescent="0.55000000000000004">
      <c r="A8" s="9" t="s">
        <v>168</v>
      </c>
      <c r="B8" s="9"/>
      <c r="C8" s="23" t="s">
        <v>173</v>
      </c>
      <c r="D8" s="13" t="s">
        <v>199</v>
      </c>
      <c r="E8" s="1" t="s">
        <v>200</v>
      </c>
      <c r="F8" s="1"/>
    </row>
    <row r="9" spans="1:6" ht="30.75" customHeight="1" x14ac:dyDescent="0.55000000000000004">
      <c r="A9" s="9" t="s">
        <v>201</v>
      </c>
      <c r="B9" s="9"/>
      <c r="C9" s="32">
        <v>10000</v>
      </c>
      <c r="D9" s="13" t="s">
        <v>202</v>
      </c>
      <c r="E9" s="47">
        <v>10000</v>
      </c>
      <c r="F9" s="47"/>
    </row>
    <row r="10" spans="1:6" ht="31.5" customHeight="1" x14ac:dyDescent="0.55000000000000004">
      <c r="A10" s="9" t="s">
        <v>203</v>
      </c>
      <c r="B10" s="9"/>
      <c r="C10" s="32">
        <f>E9-C9</f>
        <v>0</v>
      </c>
      <c r="D10" s="13" t="s">
        <v>204</v>
      </c>
      <c r="E10" s="42"/>
      <c r="F10" s="42"/>
    </row>
    <row r="11" spans="1:6" ht="31.5" customHeight="1" x14ac:dyDescent="0.55000000000000004">
      <c r="A11" s="9" t="s">
        <v>205</v>
      </c>
      <c r="B11" s="9"/>
      <c r="C11" s="29">
        <v>42</v>
      </c>
      <c r="D11" s="13" t="s">
        <v>206</v>
      </c>
      <c r="E11" s="41">
        <f>E9*C11</f>
        <v>420000</v>
      </c>
      <c r="F11" s="41"/>
    </row>
    <row r="12" spans="1:6" ht="30.75" customHeight="1" x14ac:dyDescent="0.55000000000000004">
      <c r="A12" s="9" t="s">
        <v>207</v>
      </c>
      <c r="B12" s="9"/>
      <c r="C12" s="24">
        <v>46326</v>
      </c>
      <c r="D12" s="13" t="s">
        <v>208</v>
      </c>
      <c r="E12" s="42">
        <v>7</v>
      </c>
      <c r="F12" s="42"/>
    </row>
    <row r="13" spans="1:6" ht="19.5" customHeight="1" x14ac:dyDescent="0.55000000000000004">
      <c r="A13" s="9" t="s">
        <v>209</v>
      </c>
      <c r="B13" s="9"/>
      <c r="C13" s="31">
        <f>C12-E12</f>
        <v>46319</v>
      </c>
      <c r="D13" s="13" t="s">
        <v>210</v>
      </c>
      <c r="E13" s="42" t="s">
        <v>211</v>
      </c>
      <c r="F13" s="42"/>
    </row>
    <row r="14" spans="1:6" ht="30.75" customHeight="1" x14ac:dyDescent="0.55000000000000004">
      <c r="A14" s="9" t="s">
        <v>212</v>
      </c>
      <c r="B14" s="9"/>
      <c r="C14" s="23" t="s">
        <v>111</v>
      </c>
      <c r="D14" s="13" t="s">
        <v>213</v>
      </c>
      <c r="E14" s="48">
        <v>42000</v>
      </c>
      <c r="F14" s="48"/>
    </row>
    <row r="15" spans="1:6" ht="31.5" customHeight="1" x14ac:dyDescent="0.55000000000000004">
      <c r="A15" s="9" t="s">
        <v>170</v>
      </c>
      <c r="B15" s="9"/>
      <c r="C15" s="23" t="s">
        <v>146</v>
      </c>
      <c r="D15" s="13" t="s">
        <v>214</v>
      </c>
      <c r="E15" s="1" t="s">
        <v>215</v>
      </c>
      <c r="F15" s="1"/>
    </row>
    <row r="16" spans="1:6" ht="19.5" customHeight="1" x14ac:dyDescent="0.55000000000000004">
      <c r="A16" s="9" t="s">
        <v>216</v>
      </c>
      <c r="B16" s="9"/>
      <c r="C16" s="25" t="s">
        <v>217</v>
      </c>
      <c r="D16" s="13" t="s">
        <v>218</v>
      </c>
      <c r="E16" s="1" t="str">
        <f>IF(AND(C14="Yes",N(E14)&lt;=0),"ERROR: deposit amount required",IF(AND(C10&lt;&gt;0,E10=""),"ERROR: variance note required","OK"))</f>
        <v>OK</v>
      </c>
      <c r="F16" s="1"/>
    </row>
    <row r="18" spans="1:6" ht="18" customHeight="1" x14ac:dyDescent="0.55000000000000004">
      <c r="A18" s="2" t="s">
        <v>219</v>
      </c>
      <c r="B18" s="2"/>
      <c r="C18" s="2"/>
      <c r="D18" s="2"/>
      <c r="E18" s="2"/>
      <c r="F18" s="2"/>
    </row>
    <row r="19" spans="1:6" ht="30.75" customHeight="1" x14ac:dyDescent="0.55000000000000004">
      <c r="A19" s="9" t="s">
        <v>220</v>
      </c>
      <c r="B19" s="9"/>
      <c r="C19" s="23" t="s">
        <v>110</v>
      </c>
      <c r="D19" s="13" t="s">
        <v>221</v>
      </c>
      <c r="E19" s="46">
        <v>46304</v>
      </c>
      <c r="F19" s="46"/>
    </row>
    <row r="20" spans="1:6" ht="31.5" customHeight="1" x14ac:dyDescent="0.55000000000000004">
      <c r="A20" s="9" t="s">
        <v>222</v>
      </c>
      <c r="B20" s="9"/>
      <c r="C20" s="1" t="str">
        <f>IF(C19="Approved","Finalized - purchase order sent to the supplier in hard copy outside the ERP; ERP keeps the digital record and status","Not finalized - Officer must correct (correction request PC-15)")</f>
        <v>Finalized - purchase order sent to the supplier in hard copy outside the ERP; ERP keeps the digital record and status</v>
      </c>
      <c r="D20" s="1"/>
      <c r="E20" s="1"/>
      <c r="F20" s="1"/>
    </row>
    <row r="22" spans="1:6" ht="30.75" customHeight="1" x14ac:dyDescent="0.55000000000000004">
      <c r="A22" s="43" t="s">
        <v>223</v>
      </c>
      <c r="B22" s="43"/>
      <c r="C22" s="43"/>
      <c r="D22" s="43" t="s">
        <v>224</v>
      </c>
      <c r="E22" s="43"/>
      <c r="F22" s="43"/>
    </row>
    <row r="23" spans="1:6" ht="19.5" customHeight="1" x14ac:dyDescent="0.55000000000000004">
      <c r="A23" s="8" t="s">
        <v>151</v>
      </c>
      <c r="B23" s="8"/>
      <c r="C23" s="8"/>
      <c r="D23" s="8" t="s">
        <v>151</v>
      </c>
      <c r="E23" s="8"/>
      <c r="F23" s="8"/>
    </row>
    <row r="24" spans="1:6" ht="19.5" customHeight="1" x14ac:dyDescent="0.55000000000000004">
      <c r="A24" s="8" t="s">
        <v>152</v>
      </c>
      <c r="B24" s="8"/>
      <c r="C24" s="8"/>
      <c r="D24" s="8" t="s">
        <v>152</v>
      </c>
      <c r="E24" s="8"/>
      <c r="F24" s="8"/>
    </row>
    <row r="25" spans="1:6" ht="43.5" customHeight="1" x14ac:dyDescent="0.55000000000000004">
      <c r="A25" s="44" t="s">
        <v>153</v>
      </c>
      <c r="B25" s="44"/>
      <c r="C25" s="44"/>
      <c r="D25" s="44" t="s">
        <v>153</v>
      </c>
      <c r="E25" s="44"/>
      <c r="F25" s="44"/>
    </row>
    <row r="26" spans="1:6" ht="19.5" customHeight="1" x14ac:dyDescent="0.55000000000000004">
      <c r="A26" s="8" t="s">
        <v>154</v>
      </c>
      <c r="B26" s="8"/>
      <c r="C26" s="8"/>
      <c r="D26" s="8" t="s">
        <v>154</v>
      </c>
      <c r="E26" s="8"/>
      <c r="F26" s="8"/>
    </row>
    <row r="28" spans="1:6" ht="18" customHeight="1" x14ac:dyDescent="0.55000000000000004">
      <c r="A28" s="9" t="s">
        <v>124</v>
      </c>
      <c r="B28" s="9"/>
      <c r="C28" s="9"/>
      <c r="D28" s="9"/>
      <c r="E28" s="9"/>
      <c r="F28" s="9"/>
    </row>
    <row r="29" spans="1:6" ht="33.75" customHeight="1" x14ac:dyDescent="0.55000000000000004">
      <c r="A29" s="7" t="s">
        <v>225</v>
      </c>
      <c r="B29" s="7"/>
      <c r="C29" s="7"/>
      <c r="D29" s="7"/>
      <c r="E29" s="7"/>
      <c r="F29" s="7"/>
    </row>
    <row r="30" spans="1:6" ht="33.75" customHeight="1" x14ac:dyDescent="0.55000000000000004">
      <c r="A30" s="7" t="s">
        <v>226</v>
      </c>
      <c r="B30" s="7"/>
      <c r="C30" s="7"/>
      <c r="D30" s="7"/>
      <c r="E30" s="7"/>
      <c r="F30" s="7"/>
    </row>
    <row r="31" spans="1:6" ht="33.75" customHeight="1" x14ac:dyDescent="0.55000000000000004">
      <c r="A31" s="7" t="s">
        <v>227</v>
      </c>
      <c r="B31" s="7"/>
      <c r="C31" s="7"/>
      <c r="D31" s="7"/>
      <c r="E31" s="7"/>
      <c r="F31" s="7"/>
    </row>
    <row r="32" spans="1:6" ht="43.5" customHeight="1" x14ac:dyDescent="0.55000000000000004">
      <c r="A32" s="7" t="s">
        <v>128</v>
      </c>
      <c r="B32" s="7"/>
      <c r="C32" s="7"/>
      <c r="D32" s="7"/>
      <c r="E32" s="7"/>
      <c r="F32" s="7"/>
    </row>
  </sheetData>
  <mergeCells count="47">
    <mergeCell ref="A31:F31"/>
    <mergeCell ref="A32:F32"/>
    <mergeCell ref="A26:C26"/>
    <mergeCell ref="D26:F26"/>
    <mergeCell ref="A28:F28"/>
    <mergeCell ref="A29:F29"/>
    <mergeCell ref="A30:F30"/>
    <mergeCell ref="A23:C23"/>
    <mergeCell ref="D23:F23"/>
    <mergeCell ref="A24:C24"/>
    <mergeCell ref="D24:F24"/>
    <mergeCell ref="A25:C25"/>
    <mergeCell ref="D25:F25"/>
    <mergeCell ref="A19:B19"/>
    <mergeCell ref="E19:F19"/>
    <mergeCell ref="A20:B20"/>
    <mergeCell ref="C20:F20"/>
    <mergeCell ref="A22:C22"/>
    <mergeCell ref="D22:F22"/>
    <mergeCell ref="A15:B15"/>
    <mergeCell ref="E15:F15"/>
    <mergeCell ref="A16:B16"/>
    <mergeCell ref="E16:F16"/>
    <mergeCell ref="A18:F18"/>
    <mergeCell ref="A12:B12"/>
    <mergeCell ref="E12:F12"/>
    <mergeCell ref="A13:B13"/>
    <mergeCell ref="E13:F13"/>
    <mergeCell ref="A14:B14"/>
    <mergeCell ref="E14:F14"/>
    <mergeCell ref="A9:B9"/>
    <mergeCell ref="E9:F9"/>
    <mergeCell ref="A10:B10"/>
    <mergeCell ref="E10:F10"/>
    <mergeCell ref="A11:B11"/>
    <mergeCell ref="E11:F11"/>
    <mergeCell ref="A6:B6"/>
    <mergeCell ref="E6:F6"/>
    <mergeCell ref="A7:B7"/>
    <mergeCell ref="E7:F7"/>
    <mergeCell ref="A8:B8"/>
    <mergeCell ref="E8:F8"/>
    <mergeCell ref="A1:B3"/>
    <mergeCell ref="C1:F1"/>
    <mergeCell ref="C2:F2"/>
    <mergeCell ref="C3:F3"/>
    <mergeCell ref="A5:F5"/>
  </mergeCells>
  <dataValidations count="3">
    <dataValidation type="list" allowBlank="1" sqref="C14" xr:uid="{00000000-0002-0000-0400-000000000000}">
      <formula1>"Yes,No"</formula1>
      <formula2>0</formula2>
    </dataValidation>
    <dataValidation type="list" allowBlank="1" sqref="C16" xr:uid="{00000000-0002-0000-0400-000001000000}">
      <formula1>"Raised,Sent to Supplier,Goods Received,Completed"</formula1>
      <formula2>0</formula2>
    </dataValidation>
    <dataValidation type="list" allowBlank="1" sqref="C19" xr:uid="{00000000-0002-0000-0400-000002000000}">
      <formula1>"Approved,Rejected"</formula1>
      <formula2>0</formula2>
    </dataValidation>
  </dataValidations>
  <pageMargins left="0.5" right="0.5" top="1" bottom="1" header="0.511811023622047" footer="0.5"/>
  <pageSetup paperSize="9" fitToHeight="0" orientation="portrait" horizontalDpi="300" verticalDpi="300"/>
  <headerFooter>
    <oddFooter>&amp;LPC-04 | Crest Point Consulting Group&amp;CPage &amp;P of &amp;N&amp;RStrictly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pageSetUpPr fitToPage="1"/>
  </sheetPr>
  <dimension ref="A1:F28"/>
  <sheetViews>
    <sheetView showGridLines="0" zoomScaleNormal="100" workbookViewId="0"/>
  </sheetViews>
  <sheetFormatPr defaultColWidth="8.68359375" defaultRowHeight="14.4" x14ac:dyDescent="0.55000000000000004"/>
  <cols>
    <col min="1" max="1" width="7" customWidth="1"/>
    <col min="2" max="2" width="16" customWidth="1"/>
    <col min="3" max="3" width="32" customWidth="1"/>
    <col min="4" max="4" width="36" customWidth="1"/>
    <col min="5" max="6" width="17" customWidth="1"/>
  </cols>
  <sheetData>
    <row r="1" spans="1:6" ht="43.5" customHeight="1" x14ac:dyDescent="0.55000000000000004">
      <c r="A1" s="6" t="s">
        <v>95</v>
      </c>
      <c r="B1" s="6"/>
      <c r="C1" s="5" t="s">
        <v>0</v>
      </c>
      <c r="D1" s="5"/>
      <c r="E1" s="5"/>
      <c r="F1" s="5"/>
    </row>
    <row r="2" spans="1:6" ht="21.75" customHeight="1" x14ac:dyDescent="0.55000000000000004">
      <c r="A2" s="6"/>
      <c r="B2" s="6"/>
      <c r="C2" s="4" t="s">
        <v>228</v>
      </c>
      <c r="D2" s="4"/>
      <c r="E2" s="4"/>
      <c r="F2" s="4"/>
    </row>
    <row r="3" spans="1:6" ht="30.75" customHeight="1" x14ac:dyDescent="0.55000000000000004">
      <c r="A3" s="6"/>
      <c r="B3" s="6"/>
      <c r="C3" s="3" t="s">
        <v>229</v>
      </c>
      <c r="D3" s="3"/>
      <c r="E3" s="3"/>
      <c r="F3" s="3"/>
    </row>
    <row r="5" spans="1:6" ht="18" customHeight="1" x14ac:dyDescent="0.55000000000000004">
      <c r="A5" s="2" t="s">
        <v>230</v>
      </c>
      <c r="B5" s="2"/>
      <c r="C5" s="2"/>
      <c r="D5" s="2"/>
      <c r="E5" s="2"/>
      <c r="F5" s="2"/>
    </row>
    <row r="6" spans="1:6" ht="19.5" customHeight="1" x14ac:dyDescent="0.55000000000000004">
      <c r="A6" s="9" t="s">
        <v>231</v>
      </c>
      <c r="B6" s="9"/>
      <c r="C6" s="25" t="s">
        <v>232</v>
      </c>
      <c r="D6" s="13" t="s">
        <v>233</v>
      </c>
      <c r="E6" s="46">
        <v>46309</v>
      </c>
      <c r="F6" s="46"/>
    </row>
    <row r="7" spans="1:6" ht="19.5" customHeight="1" x14ac:dyDescent="0.55000000000000004">
      <c r="A7" s="9" t="s">
        <v>234</v>
      </c>
      <c r="B7" s="9"/>
      <c r="C7" s="23" t="s">
        <v>235</v>
      </c>
      <c r="D7" s="13" t="s">
        <v>236</v>
      </c>
      <c r="E7" s="42" t="s">
        <v>237</v>
      </c>
      <c r="F7" s="42"/>
    </row>
    <row r="8" spans="1:6" ht="19.5" customHeight="1" x14ac:dyDescent="0.55000000000000004">
      <c r="A8" s="9" t="s">
        <v>238</v>
      </c>
      <c r="B8" s="9"/>
      <c r="C8" s="23" t="s">
        <v>239</v>
      </c>
      <c r="D8" s="13" t="s">
        <v>240</v>
      </c>
      <c r="E8" s="48">
        <v>40000</v>
      </c>
      <c r="F8" s="48"/>
    </row>
    <row r="9" spans="1:6" ht="30.75" customHeight="1" x14ac:dyDescent="0.55000000000000004">
      <c r="A9" s="9" t="s">
        <v>241</v>
      </c>
      <c r="B9" s="9"/>
      <c r="C9" s="26">
        <v>40000</v>
      </c>
      <c r="D9" s="13" t="s">
        <v>242</v>
      </c>
      <c r="E9" s="41">
        <v>40000</v>
      </c>
      <c r="F9" s="41"/>
    </row>
    <row r="10" spans="1:6" ht="43.5" customHeight="1" x14ac:dyDescent="0.55000000000000004">
      <c r="A10" s="9" t="s">
        <v>243</v>
      </c>
      <c r="B10" s="9"/>
      <c r="C10" s="23" t="s">
        <v>110</v>
      </c>
      <c r="D10" s="13" t="s">
        <v>221</v>
      </c>
      <c r="E10" s="46">
        <v>46309</v>
      </c>
      <c r="F10" s="46"/>
    </row>
    <row r="11" spans="1:6" ht="43.5" customHeight="1" x14ac:dyDescent="0.55000000000000004">
      <c r="A11" s="9" t="s">
        <v>244</v>
      </c>
      <c r="B11" s="9"/>
      <c r="C11" s="23" t="s">
        <v>245</v>
      </c>
      <c r="D11" s="13" t="s">
        <v>246</v>
      </c>
      <c r="E11" s="1" t="s">
        <v>247</v>
      </c>
      <c r="F11" s="1"/>
    </row>
    <row r="12" spans="1:6" ht="55.5" customHeight="1" x14ac:dyDescent="0.55000000000000004">
      <c r="A12" s="9" t="s">
        <v>248</v>
      </c>
      <c r="B12" s="9"/>
      <c r="C12" s="42" t="s">
        <v>249</v>
      </c>
      <c r="D12" s="42"/>
      <c r="E12" s="42"/>
      <c r="F12" s="42"/>
    </row>
    <row r="14" spans="1:6" ht="18" customHeight="1" x14ac:dyDescent="0.55000000000000004">
      <c r="A14" s="2" t="s">
        <v>250</v>
      </c>
      <c r="B14" s="2"/>
      <c r="C14" s="2"/>
      <c r="D14" s="2"/>
      <c r="E14" s="2"/>
      <c r="F14" s="2"/>
    </row>
    <row r="15" spans="1:6" ht="31.5" customHeight="1" x14ac:dyDescent="0.55000000000000004">
      <c r="A15" s="9" t="s">
        <v>251</v>
      </c>
      <c r="B15" s="9"/>
      <c r="C15" s="1" t="str">
        <f>IF(C8="Receipt confirmation","Dr Bank Account / Cr Supplier Security Deposit (Current Liability)",IF(C8="Refund authorization","Dr Supplier Security Deposit (Current Liability) / Cr Bank Account",IF(C8="Forfeiture authorization","Dr Supplier Security Deposit (Current Liability) / Cr Other Income Account (penalty revenue)","")))</f>
        <v>Dr Supplier Security Deposit (Current Liability) / Cr Bank Account</v>
      </c>
      <c r="D15" s="1"/>
      <c r="E15" s="1"/>
      <c r="F15" s="1"/>
    </row>
    <row r="16" spans="1:6" ht="24" customHeight="1" x14ac:dyDescent="0.55000000000000004">
      <c r="A16" s="9" t="s">
        <v>252</v>
      </c>
      <c r="B16" s="9"/>
      <c r="C16" s="1" t="str">
        <f>IF(C8="Receipt confirmation",IF(E8=C9,"Amount equals the deposit required","CHECK - differs from the deposit required"),IF(E8&lt;=E9,"OK - within the deposit held","BLOCKED - exceeds the deposit held"))</f>
        <v>OK - within the deposit held</v>
      </c>
      <c r="D16" s="1"/>
      <c r="E16" s="1"/>
      <c r="F16" s="1"/>
    </row>
    <row r="17" spans="1:6" ht="31.5" customHeight="1" x14ac:dyDescent="0.55000000000000004">
      <c r="A17" s="9" t="s">
        <v>253</v>
      </c>
      <c r="B17" s="9"/>
      <c r="C17" s="1" t="str">
        <f>IF(C8="Receipt confirmation","Posts on the Finance Officer's confirmed match in bank reconciliation (FA-06), linked to the contract",IF(C10&lt;&gt;"Approved","Not authorized - no posting",IF(AND(C8="Forfeiture authorization",C12=""),"BLOCKED - breach description required","Authorized - system posts the entry automatically")))</f>
        <v>Authorized - system posts the entry automatically</v>
      </c>
      <c r="D17" s="1"/>
      <c r="E17" s="1"/>
      <c r="F17" s="1"/>
    </row>
    <row r="19" spans="1:6" ht="30.75" customHeight="1" x14ac:dyDescent="0.55000000000000004">
      <c r="A19" s="43" t="s">
        <v>254</v>
      </c>
      <c r="B19" s="43"/>
      <c r="C19" s="43"/>
      <c r="D19" s="43" t="s">
        <v>255</v>
      </c>
      <c r="E19" s="43"/>
      <c r="F19" s="43"/>
    </row>
    <row r="20" spans="1:6" ht="19.5" customHeight="1" x14ac:dyDescent="0.55000000000000004">
      <c r="A20" s="8" t="s">
        <v>151</v>
      </c>
      <c r="B20" s="8"/>
      <c r="C20" s="8"/>
      <c r="D20" s="8" t="s">
        <v>151</v>
      </c>
      <c r="E20" s="8"/>
      <c r="F20" s="8"/>
    </row>
    <row r="21" spans="1:6" ht="19.5" customHeight="1" x14ac:dyDescent="0.55000000000000004">
      <c r="A21" s="8" t="s">
        <v>152</v>
      </c>
      <c r="B21" s="8"/>
      <c r="C21" s="8"/>
      <c r="D21" s="8" t="s">
        <v>152</v>
      </c>
      <c r="E21" s="8"/>
      <c r="F21" s="8"/>
    </row>
    <row r="22" spans="1:6" ht="43.5" customHeight="1" x14ac:dyDescent="0.55000000000000004">
      <c r="A22" s="44" t="s">
        <v>153</v>
      </c>
      <c r="B22" s="44"/>
      <c r="C22" s="44"/>
      <c r="D22" s="44" t="s">
        <v>153</v>
      </c>
      <c r="E22" s="44"/>
      <c r="F22" s="44"/>
    </row>
    <row r="23" spans="1:6" ht="19.5" customHeight="1" x14ac:dyDescent="0.55000000000000004">
      <c r="A23" s="8" t="s">
        <v>154</v>
      </c>
      <c r="B23" s="8"/>
      <c r="C23" s="8"/>
      <c r="D23" s="8" t="s">
        <v>154</v>
      </c>
      <c r="E23" s="8"/>
      <c r="F23" s="8"/>
    </row>
    <row r="25" spans="1:6" ht="18" customHeight="1" x14ac:dyDescent="0.55000000000000004">
      <c r="A25" s="9" t="s">
        <v>124</v>
      </c>
      <c r="B25" s="9"/>
      <c r="C25" s="9"/>
      <c r="D25" s="9"/>
      <c r="E25" s="9"/>
      <c r="F25" s="9"/>
    </row>
    <row r="26" spans="1:6" ht="31.5" customHeight="1" x14ac:dyDescent="0.55000000000000004">
      <c r="A26" s="7" t="s">
        <v>256</v>
      </c>
      <c r="B26" s="7"/>
      <c r="C26" s="7"/>
      <c r="D26" s="7"/>
      <c r="E26" s="7"/>
      <c r="F26" s="7"/>
    </row>
    <row r="27" spans="1:6" ht="31.5" customHeight="1" x14ac:dyDescent="0.55000000000000004">
      <c r="A27" s="7" t="s">
        <v>257</v>
      </c>
      <c r="B27" s="7"/>
      <c r="C27" s="7"/>
      <c r="D27" s="7"/>
      <c r="E27" s="7"/>
      <c r="F27" s="7"/>
    </row>
    <row r="28" spans="1:6" ht="31.5" customHeight="1" x14ac:dyDescent="0.55000000000000004">
      <c r="A28" s="7" t="s">
        <v>258</v>
      </c>
      <c r="B28" s="7"/>
      <c r="C28" s="7"/>
      <c r="D28" s="7"/>
      <c r="E28" s="7"/>
      <c r="F28" s="7"/>
    </row>
  </sheetData>
  <mergeCells count="40">
    <mergeCell ref="A28:F28"/>
    <mergeCell ref="A23:C23"/>
    <mergeCell ref="D23:F23"/>
    <mergeCell ref="A25:F25"/>
    <mergeCell ref="A26:F26"/>
    <mergeCell ref="A27:F27"/>
    <mergeCell ref="A20:C20"/>
    <mergeCell ref="D20:F20"/>
    <mergeCell ref="A21:C21"/>
    <mergeCell ref="D21:F21"/>
    <mergeCell ref="A22:C22"/>
    <mergeCell ref="D22:F22"/>
    <mergeCell ref="A16:B16"/>
    <mergeCell ref="C16:F16"/>
    <mergeCell ref="A17:B17"/>
    <mergeCell ref="C17:F17"/>
    <mergeCell ref="A19:C19"/>
    <mergeCell ref="D19:F19"/>
    <mergeCell ref="A12:B12"/>
    <mergeCell ref="C12:F12"/>
    <mergeCell ref="A14:F14"/>
    <mergeCell ref="A15:B15"/>
    <mergeCell ref="C15:F15"/>
    <mergeCell ref="A9:B9"/>
    <mergeCell ref="E9:F9"/>
    <mergeCell ref="A10:B10"/>
    <mergeCell ref="E10:F10"/>
    <mergeCell ref="A11:B11"/>
    <mergeCell ref="E11:F11"/>
    <mergeCell ref="A6:B6"/>
    <mergeCell ref="E6:F6"/>
    <mergeCell ref="A7:B7"/>
    <mergeCell ref="E7:F7"/>
    <mergeCell ref="A8:B8"/>
    <mergeCell ref="E8:F8"/>
    <mergeCell ref="A1:B3"/>
    <mergeCell ref="C1:F1"/>
    <mergeCell ref="C2:F2"/>
    <mergeCell ref="C3:F3"/>
    <mergeCell ref="A5:F5"/>
  </mergeCells>
  <dataValidations count="2">
    <dataValidation type="list" allowBlank="1" sqref="C8" xr:uid="{00000000-0002-0000-0500-000000000000}">
      <formula1>"Receipt confirmation,Refund authorization,Forfeiture authorization"</formula1>
      <formula2>0</formula2>
    </dataValidation>
    <dataValidation type="list" allowBlank="1" sqref="C10" xr:uid="{00000000-0002-0000-0500-000001000000}">
      <formula1>"Approved,Rejected"</formula1>
      <formula2>0</formula2>
    </dataValidation>
  </dataValidations>
  <pageMargins left="0.5" right="0.5" top="1" bottom="1" header="0.511811023622047" footer="0.5"/>
  <pageSetup paperSize="9" fitToHeight="0" orientation="portrait" horizontalDpi="300" verticalDpi="300"/>
  <headerFooter>
    <oddFooter>&amp;LPC-05 | Crest Point Consulting Group&amp;CPage &amp;P of &amp;N&amp;RStrictly Confidential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F7F7F"/>
    <pageSetUpPr fitToPage="1"/>
  </sheetPr>
  <dimension ref="A1:I20"/>
  <sheetViews>
    <sheetView showGridLines="0" zoomScaleNormal="100" workbookViewId="0"/>
  </sheetViews>
  <sheetFormatPr defaultColWidth="8.68359375" defaultRowHeight="14.4" x14ac:dyDescent="0.55000000000000004"/>
  <cols>
    <col min="1" max="1" width="16" customWidth="1"/>
    <col min="2" max="2" width="26" customWidth="1"/>
    <col min="3" max="3" width="24" customWidth="1"/>
    <col min="4" max="6" width="16" customWidth="1"/>
    <col min="7" max="7" width="18" customWidth="1"/>
    <col min="8" max="8" width="20" customWidth="1"/>
    <col min="9" max="9" width="24" customWidth="1"/>
  </cols>
  <sheetData>
    <row r="1" spans="1:9" ht="30.75" customHeight="1" x14ac:dyDescent="0.55000000000000004">
      <c r="A1" s="6" t="s">
        <v>95</v>
      </c>
      <c r="B1" s="6"/>
      <c r="C1" s="5" t="s">
        <v>0</v>
      </c>
      <c r="D1" s="5"/>
      <c r="E1" s="5"/>
      <c r="F1" s="5"/>
      <c r="G1" s="5"/>
      <c r="H1" s="5"/>
      <c r="I1" s="5"/>
    </row>
    <row r="2" spans="1:9" ht="21.75" customHeight="1" x14ac:dyDescent="0.55000000000000004">
      <c r="A2" s="6"/>
      <c r="B2" s="6"/>
      <c r="C2" s="4" t="s">
        <v>259</v>
      </c>
      <c r="D2" s="4"/>
      <c r="E2" s="4"/>
      <c r="F2" s="4"/>
      <c r="G2" s="4"/>
      <c r="H2" s="4"/>
      <c r="I2" s="4"/>
    </row>
    <row r="3" spans="1:9" ht="21.75" customHeight="1" x14ac:dyDescent="0.55000000000000004">
      <c r="A3" s="6"/>
      <c r="B3" s="6"/>
      <c r="C3" s="3" t="s">
        <v>260</v>
      </c>
      <c r="D3" s="3"/>
      <c r="E3" s="3"/>
      <c r="F3" s="3"/>
      <c r="G3" s="3"/>
      <c r="H3" s="3"/>
      <c r="I3" s="3"/>
    </row>
    <row r="5" spans="1:9" ht="48" customHeight="1" x14ac:dyDescent="0.55000000000000004">
      <c r="A5" s="19" t="s">
        <v>234</v>
      </c>
      <c r="B5" s="19" t="s">
        <v>236</v>
      </c>
      <c r="C5" s="19" t="s">
        <v>261</v>
      </c>
      <c r="D5" s="19" t="s">
        <v>262</v>
      </c>
      <c r="E5" s="19" t="s">
        <v>263</v>
      </c>
      <c r="F5" s="19" t="s">
        <v>264</v>
      </c>
      <c r="G5" s="19" t="s">
        <v>265</v>
      </c>
      <c r="H5" s="19" t="s">
        <v>266</v>
      </c>
      <c r="I5" s="19" t="s">
        <v>267</v>
      </c>
    </row>
    <row r="6" spans="1:9" ht="30.75" customHeight="1" x14ac:dyDescent="0.55000000000000004">
      <c r="A6" s="23" t="s">
        <v>268</v>
      </c>
      <c r="B6" s="23" t="s">
        <v>173</v>
      </c>
      <c r="C6" s="23" t="s">
        <v>269</v>
      </c>
      <c r="D6" s="29">
        <v>150000</v>
      </c>
      <c r="E6" s="29">
        <v>150000</v>
      </c>
      <c r="F6" s="29">
        <v>0</v>
      </c>
      <c r="G6" s="29">
        <v>0</v>
      </c>
      <c r="H6" s="26">
        <f t="shared" ref="H6:H15" si="0">IF(A6="","",N(E6)-N(F6)-N(G6))</f>
        <v>150000</v>
      </c>
      <c r="I6" s="25" t="str">
        <f t="shared" ref="I6:I15" si="1">IF(A6="","",IF(N(E6)=0,"Awaiting receipt",IF(N(G6)&gt;0,"Forfeited",IF(H6=0,"Refunded","Active - held"))))</f>
        <v>Active - held</v>
      </c>
    </row>
    <row r="7" spans="1:9" ht="30.75" customHeight="1" x14ac:dyDescent="0.55000000000000004">
      <c r="A7" s="23" t="s">
        <v>235</v>
      </c>
      <c r="B7" s="23" t="s">
        <v>237</v>
      </c>
      <c r="C7" s="23" t="s">
        <v>270</v>
      </c>
      <c r="D7" s="29">
        <v>40000</v>
      </c>
      <c r="E7" s="29">
        <v>40000</v>
      </c>
      <c r="F7" s="29">
        <v>40000</v>
      </c>
      <c r="G7" s="29">
        <v>0</v>
      </c>
      <c r="H7" s="26">
        <f t="shared" si="0"/>
        <v>0</v>
      </c>
      <c r="I7" s="25" t="str">
        <f t="shared" si="1"/>
        <v>Refunded</v>
      </c>
    </row>
    <row r="8" spans="1:9" ht="21.75" customHeight="1" x14ac:dyDescent="0.55000000000000004">
      <c r="A8" s="23" t="s">
        <v>271</v>
      </c>
      <c r="B8" s="23" t="s">
        <v>175</v>
      </c>
      <c r="C8" s="23" t="s">
        <v>272</v>
      </c>
      <c r="D8" s="29">
        <v>60000</v>
      </c>
      <c r="E8" s="29">
        <v>60000</v>
      </c>
      <c r="F8" s="29">
        <v>0</v>
      </c>
      <c r="G8" s="29">
        <v>60000</v>
      </c>
      <c r="H8" s="26">
        <f t="shared" si="0"/>
        <v>0</v>
      </c>
      <c r="I8" s="25" t="str">
        <f t="shared" si="1"/>
        <v>Forfeited</v>
      </c>
    </row>
    <row r="9" spans="1:9" ht="21.75" customHeight="1" x14ac:dyDescent="0.55000000000000004">
      <c r="A9" s="23" t="s">
        <v>196</v>
      </c>
      <c r="B9" s="23" t="s">
        <v>173</v>
      </c>
      <c r="C9" s="23" t="s">
        <v>273</v>
      </c>
      <c r="D9" s="29">
        <v>42000</v>
      </c>
      <c r="E9" s="29">
        <v>0</v>
      </c>
      <c r="F9" s="29">
        <v>0</v>
      </c>
      <c r="G9" s="29">
        <v>0</v>
      </c>
      <c r="H9" s="26">
        <f t="shared" si="0"/>
        <v>0</v>
      </c>
      <c r="I9" s="25" t="str">
        <f t="shared" si="1"/>
        <v>Awaiting receipt</v>
      </c>
    </row>
    <row r="10" spans="1:9" ht="21.75" customHeight="1" x14ac:dyDescent="0.55000000000000004">
      <c r="A10" s="15"/>
      <c r="B10" s="15"/>
      <c r="C10" s="15"/>
      <c r="D10" s="30"/>
      <c r="E10" s="30"/>
      <c r="F10" s="30"/>
      <c r="G10" s="30"/>
      <c r="H10" s="26" t="str">
        <f t="shared" si="0"/>
        <v/>
      </c>
      <c r="I10" s="25" t="str">
        <f t="shared" si="1"/>
        <v/>
      </c>
    </row>
    <row r="11" spans="1:9" ht="21.75" customHeight="1" x14ac:dyDescent="0.55000000000000004">
      <c r="A11" s="15"/>
      <c r="B11" s="15"/>
      <c r="C11" s="15"/>
      <c r="D11" s="30"/>
      <c r="E11" s="30"/>
      <c r="F11" s="30"/>
      <c r="G11" s="30"/>
      <c r="H11" s="26" t="str">
        <f t="shared" si="0"/>
        <v/>
      </c>
      <c r="I11" s="25" t="str">
        <f t="shared" si="1"/>
        <v/>
      </c>
    </row>
    <row r="12" spans="1:9" ht="21.75" customHeight="1" x14ac:dyDescent="0.55000000000000004">
      <c r="A12" s="15"/>
      <c r="B12" s="15"/>
      <c r="C12" s="15"/>
      <c r="D12" s="30"/>
      <c r="E12" s="30"/>
      <c r="F12" s="30"/>
      <c r="G12" s="30"/>
      <c r="H12" s="26" t="str">
        <f t="shared" si="0"/>
        <v/>
      </c>
      <c r="I12" s="25" t="str">
        <f t="shared" si="1"/>
        <v/>
      </c>
    </row>
    <row r="13" spans="1:9" ht="21.75" customHeight="1" x14ac:dyDescent="0.55000000000000004">
      <c r="A13" s="15"/>
      <c r="B13" s="15"/>
      <c r="C13" s="15"/>
      <c r="D13" s="30"/>
      <c r="E13" s="30"/>
      <c r="F13" s="30"/>
      <c r="G13" s="30"/>
      <c r="H13" s="26" t="str">
        <f t="shared" si="0"/>
        <v/>
      </c>
      <c r="I13" s="25" t="str">
        <f t="shared" si="1"/>
        <v/>
      </c>
    </row>
    <row r="14" spans="1:9" ht="21.75" customHeight="1" x14ac:dyDescent="0.55000000000000004">
      <c r="A14" s="15"/>
      <c r="B14" s="15"/>
      <c r="C14" s="15"/>
      <c r="D14" s="30"/>
      <c r="E14" s="30"/>
      <c r="F14" s="30"/>
      <c r="G14" s="30"/>
      <c r="H14" s="26" t="str">
        <f t="shared" si="0"/>
        <v/>
      </c>
      <c r="I14" s="25" t="str">
        <f t="shared" si="1"/>
        <v/>
      </c>
    </row>
    <row r="15" spans="1:9" ht="21.75" customHeight="1" x14ac:dyDescent="0.55000000000000004">
      <c r="A15" s="15"/>
      <c r="B15" s="15"/>
      <c r="C15" s="15"/>
      <c r="D15" s="30"/>
      <c r="E15" s="30"/>
      <c r="F15" s="30"/>
      <c r="G15" s="30"/>
      <c r="H15" s="26" t="str">
        <f t="shared" si="0"/>
        <v/>
      </c>
      <c r="I15" s="25" t="str">
        <f t="shared" si="1"/>
        <v/>
      </c>
    </row>
    <row r="16" spans="1:9" ht="18" customHeight="1" x14ac:dyDescent="0.55000000000000004">
      <c r="A16" s="49" t="s">
        <v>274</v>
      </c>
      <c r="B16" s="49"/>
      <c r="C16" s="49"/>
      <c r="D16" s="33">
        <f>SUM(D6:D15)</f>
        <v>292000</v>
      </c>
      <c r="E16" s="33">
        <f>SUM(E6:E15)</f>
        <v>250000</v>
      </c>
      <c r="F16" s="33">
        <f>SUM(F6:F15)</f>
        <v>40000</v>
      </c>
      <c r="G16" s="33">
        <f>SUM(G6:G15)</f>
        <v>60000</v>
      </c>
      <c r="H16" s="33">
        <f>SUM(H6:H15)</f>
        <v>150000</v>
      </c>
      <c r="I16" s="34"/>
    </row>
    <row r="18" spans="1:9" ht="18" customHeight="1" x14ac:dyDescent="0.55000000000000004">
      <c r="A18" s="9" t="s">
        <v>124</v>
      </c>
      <c r="B18" s="9"/>
      <c r="C18" s="9"/>
      <c r="D18" s="9"/>
      <c r="E18" s="9"/>
      <c r="F18" s="9"/>
      <c r="G18" s="9"/>
      <c r="H18" s="9"/>
      <c r="I18" s="9"/>
    </row>
    <row r="19" spans="1:9" ht="30.75" customHeight="1" x14ac:dyDescent="0.55000000000000004">
      <c r="A19" s="7" t="s">
        <v>275</v>
      </c>
      <c r="B19" s="7"/>
      <c r="C19" s="7"/>
      <c r="D19" s="7"/>
      <c r="E19" s="7"/>
      <c r="F19" s="7"/>
      <c r="G19" s="7"/>
      <c r="H19" s="7"/>
      <c r="I19" s="7"/>
    </row>
    <row r="20" spans="1:9" ht="27.75" customHeight="1" x14ac:dyDescent="0.55000000000000004">
      <c r="A20" s="7" t="s">
        <v>276</v>
      </c>
      <c r="B20" s="7"/>
      <c r="C20" s="7"/>
      <c r="D20" s="7"/>
      <c r="E20" s="7"/>
      <c r="F20" s="7"/>
      <c r="G20" s="7"/>
      <c r="H20" s="7"/>
      <c r="I20" s="7"/>
    </row>
  </sheetData>
  <mergeCells count="8">
    <mergeCell ref="A18:I18"/>
    <mergeCell ref="A19:I19"/>
    <mergeCell ref="A20:I20"/>
    <mergeCell ref="A1:B3"/>
    <mergeCell ref="C1:I1"/>
    <mergeCell ref="C2:I2"/>
    <mergeCell ref="C3:I3"/>
    <mergeCell ref="A16:C16"/>
  </mergeCells>
  <pageMargins left="0.5" right="0.5" top="1" bottom="1" header="0.511811023622047" footer="0.5"/>
  <pageSetup paperSize="9" fitToHeight="0" orientation="landscape" horizontalDpi="300" verticalDpi="300"/>
  <headerFooter>
    <oddFooter>&amp;LPC-06 | Crest Point Consulting Group&amp;CPage &amp;P of &amp;N&amp;RStrictly 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pageSetUpPr fitToPage="1"/>
  </sheetPr>
  <dimension ref="A1:F33"/>
  <sheetViews>
    <sheetView showGridLines="0" zoomScaleNormal="100" workbookViewId="0"/>
  </sheetViews>
  <sheetFormatPr defaultColWidth="8.68359375" defaultRowHeight="14.4" x14ac:dyDescent="0.55000000000000004"/>
  <cols>
    <col min="1" max="1" width="6" customWidth="1"/>
    <col min="2" max="3" width="16" customWidth="1"/>
    <col min="4" max="4" width="44" customWidth="1"/>
    <col min="5" max="5" width="18" customWidth="1"/>
    <col min="6" max="6" width="26" customWidth="1"/>
  </cols>
  <sheetData>
    <row r="1" spans="1:6" ht="43.5" customHeight="1" x14ac:dyDescent="0.55000000000000004">
      <c r="A1" s="6" t="s">
        <v>95</v>
      </c>
      <c r="B1" s="6"/>
      <c r="C1" s="5" t="s">
        <v>0</v>
      </c>
      <c r="D1" s="5"/>
      <c r="E1" s="5"/>
      <c r="F1" s="5"/>
    </row>
    <row r="2" spans="1:6" ht="21.75" customHeight="1" x14ac:dyDescent="0.55000000000000004">
      <c r="A2" s="6"/>
      <c r="B2" s="6"/>
      <c r="C2" s="4" t="s">
        <v>277</v>
      </c>
      <c r="D2" s="4"/>
      <c r="E2" s="4"/>
      <c r="F2" s="4"/>
    </row>
    <row r="3" spans="1:6" ht="30.75" customHeight="1" x14ac:dyDescent="0.55000000000000004">
      <c r="A3" s="6"/>
      <c r="B3" s="6"/>
      <c r="C3" s="3" t="s">
        <v>278</v>
      </c>
      <c r="D3" s="3"/>
      <c r="E3" s="3"/>
      <c r="F3" s="3"/>
    </row>
    <row r="5" spans="1:6" ht="19.5" customHeight="1" x14ac:dyDescent="0.55000000000000004">
      <c r="A5" s="9" t="s">
        <v>234</v>
      </c>
      <c r="B5" s="9"/>
      <c r="C5" s="25" t="s">
        <v>268</v>
      </c>
      <c r="D5" s="13" t="s">
        <v>279</v>
      </c>
      <c r="E5" s="1" t="s">
        <v>173</v>
      </c>
      <c r="F5" s="1"/>
    </row>
    <row r="6" spans="1:6" ht="30.75" customHeight="1" x14ac:dyDescent="0.55000000000000004">
      <c r="A6" s="9" t="s">
        <v>280</v>
      </c>
      <c r="B6" s="9"/>
      <c r="C6" s="31">
        <v>46387</v>
      </c>
      <c r="D6" s="13" t="s">
        <v>281</v>
      </c>
      <c r="E6" s="1">
        <v>30</v>
      </c>
      <c r="F6" s="1"/>
    </row>
    <row r="7" spans="1:6" ht="19.5" customHeight="1" x14ac:dyDescent="0.55000000000000004">
      <c r="A7" s="9" t="s">
        <v>282</v>
      </c>
      <c r="B7" s="9"/>
      <c r="C7" s="24">
        <v>46309</v>
      </c>
      <c r="D7" s="13" t="s">
        <v>162</v>
      </c>
      <c r="E7" s="1" t="s">
        <v>283</v>
      </c>
      <c r="F7" s="1"/>
    </row>
    <row r="9" spans="1:6" ht="33.75" customHeight="1" x14ac:dyDescent="0.55000000000000004">
      <c r="A9" s="19" t="s">
        <v>167</v>
      </c>
      <c r="B9" s="19" t="s">
        <v>284</v>
      </c>
      <c r="C9" s="19" t="s">
        <v>285</v>
      </c>
      <c r="D9" s="19" t="s">
        <v>286</v>
      </c>
      <c r="E9" s="19" t="s">
        <v>287</v>
      </c>
      <c r="F9" s="19" t="s">
        <v>288</v>
      </c>
    </row>
    <row r="10" spans="1:6" ht="19.5" customHeight="1" x14ac:dyDescent="0.55000000000000004">
      <c r="A10" s="20">
        <v>1</v>
      </c>
      <c r="B10" s="24">
        <v>46204</v>
      </c>
      <c r="C10" s="35">
        <v>0.1</v>
      </c>
      <c r="D10" s="23" t="s">
        <v>289</v>
      </c>
      <c r="E10" s="23" t="s">
        <v>148</v>
      </c>
      <c r="F10" s="23"/>
    </row>
    <row r="11" spans="1:6" ht="19.5" customHeight="1" x14ac:dyDescent="0.55000000000000004">
      <c r="A11" s="20">
        <v>2</v>
      </c>
      <c r="B11" s="24">
        <v>46235</v>
      </c>
      <c r="C11" s="35">
        <v>0.25</v>
      </c>
      <c r="D11" s="23" t="s">
        <v>290</v>
      </c>
      <c r="E11" s="23" t="s">
        <v>148</v>
      </c>
      <c r="F11" s="23"/>
    </row>
    <row r="12" spans="1:6" ht="19.5" customHeight="1" x14ac:dyDescent="0.55000000000000004">
      <c r="A12" s="20">
        <v>3</v>
      </c>
      <c r="B12" s="24">
        <v>46266</v>
      </c>
      <c r="C12" s="35">
        <v>0.4</v>
      </c>
      <c r="D12" s="23" t="s">
        <v>291</v>
      </c>
      <c r="E12" s="23" t="s">
        <v>148</v>
      </c>
      <c r="F12" s="23"/>
    </row>
    <row r="13" spans="1:6" ht="19.5" customHeight="1" x14ac:dyDescent="0.55000000000000004">
      <c r="A13" s="20">
        <v>4</v>
      </c>
      <c r="B13" s="24">
        <v>46296</v>
      </c>
      <c r="C13" s="35">
        <v>0.5</v>
      </c>
      <c r="D13" s="23" t="s">
        <v>292</v>
      </c>
      <c r="E13" s="23" t="s">
        <v>148</v>
      </c>
      <c r="F13" s="23"/>
    </row>
    <row r="14" spans="1:6" ht="19.5" customHeight="1" x14ac:dyDescent="0.55000000000000004">
      <c r="A14" s="20">
        <v>5</v>
      </c>
      <c r="B14" s="15"/>
      <c r="C14" s="36"/>
      <c r="D14" s="15"/>
      <c r="E14" s="15"/>
      <c r="F14" s="15"/>
    </row>
    <row r="15" spans="1:6" ht="19.5" customHeight="1" x14ac:dyDescent="0.55000000000000004">
      <c r="A15" s="20">
        <v>6</v>
      </c>
      <c r="B15" s="15"/>
      <c r="C15" s="36"/>
      <c r="D15" s="15"/>
      <c r="E15" s="15"/>
      <c r="F15" s="15"/>
    </row>
    <row r="16" spans="1:6" ht="19.5" customHeight="1" x14ac:dyDescent="0.55000000000000004">
      <c r="A16" s="20">
        <v>7</v>
      </c>
      <c r="B16" s="15"/>
      <c r="C16" s="36"/>
      <c r="D16" s="15"/>
      <c r="E16" s="15"/>
      <c r="F16" s="15"/>
    </row>
    <row r="17" spans="1:6" ht="19.5" customHeight="1" x14ac:dyDescent="0.55000000000000004">
      <c r="A17" s="20">
        <v>8</v>
      </c>
      <c r="B17" s="15"/>
      <c r="C17" s="36"/>
      <c r="D17" s="15"/>
      <c r="E17" s="15"/>
      <c r="F17" s="15"/>
    </row>
    <row r="19" spans="1:6" ht="18" customHeight="1" x14ac:dyDescent="0.55000000000000004">
      <c r="A19" s="2" t="s">
        <v>293</v>
      </c>
      <c r="B19" s="2"/>
      <c r="C19" s="2"/>
      <c r="D19" s="50"/>
      <c r="E19" s="50"/>
      <c r="F19" s="50"/>
    </row>
    <row r="20" spans="1:6" ht="30.75" customHeight="1" x14ac:dyDescent="0.55000000000000004">
      <c r="A20" s="9" t="s">
        <v>294</v>
      </c>
      <c r="B20" s="9"/>
      <c r="C20" s="37">
        <f>IF(COUNT(C10:C17)=0,0,LOOKUP(9.99E+307,C10:C17))</f>
        <v>0.5</v>
      </c>
    </row>
    <row r="21" spans="1:6" ht="18" customHeight="1" x14ac:dyDescent="0.55000000000000004">
      <c r="A21" s="9" t="s">
        <v>295</v>
      </c>
      <c r="B21" s="9"/>
      <c r="C21" s="16">
        <f>C6-C7</f>
        <v>78</v>
      </c>
    </row>
    <row r="22" spans="1:6" ht="18" customHeight="1" x14ac:dyDescent="0.55000000000000004">
      <c r="A22" s="9" t="s">
        <v>296</v>
      </c>
      <c r="B22" s="9"/>
      <c r="C22" s="38">
        <f>C6-E6</f>
        <v>46357</v>
      </c>
    </row>
    <row r="23" spans="1:6" ht="30" customHeight="1" x14ac:dyDescent="0.55000000000000004">
      <c r="A23" s="9" t="s">
        <v>297</v>
      </c>
      <c r="B23" s="9"/>
      <c r="C23" s="51" t="str">
        <f>IF(C20&gt;=1,"Complete (100%)",IF(C7&gt;C6,"OVERDUE / BREACHED",IF(C7&gt;=C22,"ALERT - approaching deadline and implementation below 100% (notify Officer and Head)","On track")))</f>
        <v>On track</v>
      </c>
      <c r="D23" s="51"/>
      <c r="E23" s="51"/>
      <c r="F23" s="51"/>
    </row>
    <row r="25" spans="1:6" ht="30.75" customHeight="1" x14ac:dyDescent="0.55000000000000004">
      <c r="A25" s="43" t="s">
        <v>298</v>
      </c>
      <c r="B25" s="43"/>
      <c r="C25" s="43"/>
      <c r="D25" s="43" t="s">
        <v>299</v>
      </c>
      <c r="E25" s="43"/>
      <c r="F25" s="43"/>
    </row>
    <row r="26" spans="1:6" ht="19.5" customHeight="1" x14ac:dyDescent="0.55000000000000004">
      <c r="A26" s="8" t="s">
        <v>151</v>
      </c>
      <c r="B26" s="8"/>
      <c r="C26" s="8"/>
      <c r="D26" s="8" t="s">
        <v>151</v>
      </c>
      <c r="E26" s="8"/>
      <c r="F26" s="8"/>
    </row>
    <row r="27" spans="1:6" ht="19.5" customHeight="1" x14ac:dyDescent="0.55000000000000004">
      <c r="A27" s="8" t="s">
        <v>152</v>
      </c>
      <c r="B27" s="8"/>
      <c r="C27" s="8"/>
      <c r="D27" s="8" t="s">
        <v>152</v>
      </c>
      <c r="E27" s="8"/>
      <c r="F27" s="8"/>
    </row>
    <row r="28" spans="1:6" ht="43.5" customHeight="1" x14ac:dyDescent="0.55000000000000004">
      <c r="A28" s="44" t="s">
        <v>153</v>
      </c>
      <c r="B28" s="44"/>
      <c r="C28" s="44"/>
      <c r="D28" s="44" t="s">
        <v>153</v>
      </c>
      <c r="E28" s="44"/>
      <c r="F28" s="44"/>
    </row>
    <row r="29" spans="1:6" ht="19.5" customHeight="1" x14ac:dyDescent="0.55000000000000004">
      <c r="A29" s="8" t="s">
        <v>154</v>
      </c>
      <c r="B29" s="8"/>
      <c r="C29" s="8"/>
      <c r="D29" s="8" t="s">
        <v>154</v>
      </c>
      <c r="E29" s="8"/>
      <c r="F29" s="8"/>
    </row>
    <row r="31" spans="1:6" ht="18" customHeight="1" x14ac:dyDescent="0.55000000000000004">
      <c r="A31" s="9" t="s">
        <v>124</v>
      </c>
      <c r="B31" s="9"/>
      <c r="C31" s="9"/>
      <c r="D31" s="9"/>
      <c r="E31" s="9"/>
      <c r="F31" s="9"/>
    </row>
    <row r="32" spans="1:6" ht="43.5" customHeight="1" x14ac:dyDescent="0.55000000000000004">
      <c r="A32" s="7" t="s">
        <v>300</v>
      </c>
      <c r="B32" s="7"/>
      <c r="C32" s="7"/>
      <c r="D32" s="7"/>
      <c r="E32" s="7"/>
      <c r="F32" s="7"/>
    </row>
    <row r="33" spans="1:6" ht="36" customHeight="1" x14ac:dyDescent="0.55000000000000004">
      <c r="A33" s="7" t="s">
        <v>301</v>
      </c>
      <c r="B33" s="7"/>
      <c r="C33" s="7"/>
      <c r="D33" s="7"/>
      <c r="E33" s="7"/>
      <c r="F33" s="7"/>
    </row>
  </sheetData>
  <mergeCells count="30">
    <mergeCell ref="A32:F32"/>
    <mergeCell ref="A33:F33"/>
    <mergeCell ref="A28:C28"/>
    <mergeCell ref="D28:F28"/>
    <mergeCell ref="A29:C29"/>
    <mergeCell ref="D29:F29"/>
    <mergeCell ref="A31:F31"/>
    <mergeCell ref="A25:C25"/>
    <mergeCell ref="D25:F25"/>
    <mergeCell ref="A26:C26"/>
    <mergeCell ref="D26:F26"/>
    <mergeCell ref="A27:C27"/>
    <mergeCell ref="D27:F27"/>
    <mergeCell ref="A20:B20"/>
    <mergeCell ref="A21:B21"/>
    <mergeCell ref="A22:B22"/>
    <mergeCell ref="A23:B23"/>
    <mergeCell ref="C23:F23"/>
    <mergeCell ref="A6:B6"/>
    <mergeCell ref="E6:F6"/>
    <mergeCell ref="A7:B7"/>
    <mergeCell ref="E7:F7"/>
    <mergeCell ref="A19:C19"/>
    <mergeCell ref="D19:F19"/>
    <mergeCell ref="A1:B3"/>
    <mergeCell ref="C1:F1"/>
    <mergeCell ref="C2:F2"/>
    <mergeCell ref="C3:F3"/>
    <mergeCell ref="A5:B5"/>
    <mergeCell ref="E5:F5"/>
  </mergeCells>
  <pageMargins left="0.5" right="0.5" top="1" bottom="1" header="0.511811023622047" footer="0.5"/>
  <pageSetup paperSize="9" fitToHeight="0" orientation="portrait" horizontalDpi="300" verticalDpi="300"/>
  <headerFooter>
    <oddFooter>&amp;LPC-07 | Crest Point Consulting Group&amp;CPage &amp;P of &amp;N&amp;RStrictly 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3864"/>
    <pageSetUpPr fitToPage="1"/>
  </sheetPr>
  <dimension ref="A1:F21"/>
  <sheetViews>
    <sheetView showGridLines="0" zoomScaleNormal="100" workbookViewId="0"/>
  </sheetViews>
  <sheetFormatPr defaultColWidth="8.68359375" defaultRowHeight="14.4" x14ac:dyDescent="0.55000000000000004"/>
  <cols>
    <col min="1" max="1" width="7" customWidth="1"/>
    <col min="2" max="2" width="16" customWidth="1"/>
    <col min="3" max="3" width="32" customWidth="1"/>
    <col min="4" max="4" width="36" customWidth="1"/>
    <col min="5" max="6" width="17" customWidth="1"/>
  </cols>
  <sheetData>
    <row r="1" spans="1:6" ht="43.5" customHeight="1" x14ac:dyDescent="0.55000000000000004">
      <c r="A1" s="6" t="s">
        <v>95</v>
      </c>
      <c r="B1" s="6"/>
      <c r="C1" s="5" t="s">
        <v>0</v>
      </c>
      <c r="D1" s="5"/>
      <c r="E1" s="5"/>
      <c r="F1" s="5"/>
    </row>
    <row r="2" spans="1:6" ht="21.75" customHeight="1" x14ac:dyDescent="0.55000000000000004">
      <c r="A2" s="6"/>
      <c r="B2" s="6"/>
      <c r="C2" s="4" t="s">
        <v>302</v>
      </c>
      <c r="D2" s="4"/>
      <c r="E2" s="4"/>
      <c r="F2" s="4"/>
    </row>
    <row r="3" spans="1:6" ht="30.75" customHeight="1" x14ac:dyDescent="0.55000000000000004">
      <c r="A3" s="6"/>
      <c r="B3" s="6"/>
      <c r="C3" s="3" t="s">
        <v>303</v>
      </c>
      <c r="D3" s="3"/>
      <c r="E3" s="3"/>
      <c r="F3" s="3"/>
    </row>
    <row r="5" spans="1:6" ht="19.5" customHeight="1" x14ac:dyDescent="0.55000000000000004">
      <c r="A5" s="9" t="s">
        <v>304</v>
      </c>
      <c r="B5" s="9"/>
      <c r="C5" s="25" t="s">
        <v>305</v>
      </c>
      <c r="D5" s="13" t="s">
        <v>306</v>
      </c>
      <c r="E5" s="46">
        <v>46309</v>
      </c>
      <c r="F5" s="46"/>
    </row>
    <row r="6" spans="1:6" ht="19.5" customHeight="1" x14ac:dyDescent="0.55000000000000004">
      <c r="A6" s="9" t="s">
        <v>234</v>
      </c>
      <c r="B6" s="9"/>
      <c r="C6" s="23" t="s">
        <v>268</v>
      </c>
      <c r="D6" s="13" t="s">
        <v>279</v>
      </c>
      <c r="E6" s="42" t="s">
        <v>173</v>
      </c>
      <c r="F6" s="42"/>
    </row>
    <row r="7" spans="1:6" ht="30.75" customHeight="1" x14ac:dyDescent="0.55000000000000004">
      <c r="A7" s="9" t="s">
        <v>307</v>
      </c>
      <c r="B7" s="9"/>
      <c r="C7" s="31">
        <v>46387</v>
      </c>
      <c r="D7" s="13" t="s">
        <v>308</v>
      </c>
      <c r="E7" s="52">
        <v>46418</v>
      </c>
      <c r="F7" s="52"/>
    </row>
    <row r="8" spans="1:6" ht="30.75" customHeight="1" x14ac:dyDescent="0.55000000000000004">
      <c r="A8" s="9" t="s">
        <v>309</v>
      </c>
      <c r="B8" s="9"/>
      <c r="C8" s="25">
        <f>E7-C7</f>
        <v>31</v>
      </c>
      <c r="D8" s="13" t="s">
        <v>310</v>
      </c>
      <c r="E8" s="53">
        <v>0.5</v>
      </c>
      <c r="F8" s="53"/>
    </row>
    <row r="9" spans="1:6" ht="39.75" customHeight="1" x14ac:dyDescent="0.55000000000000004">
      <c r="A9" s="9" t="s">
        <v>186</v>
      </c>
      <c r="B9" s="9"/>
      <c r="C9" s="42" t="s">
        <v>311</v>
      </c>
      <c r="D9" s="42"/>
      <c r="E9" s="42"/>
      <c r="F9" s="42"/>
    </row>
    <row r="10" spans="1:6" ht="30.75" customHeight="1" x14ac:dyDescent="0.55000000000000004">
      <c r="A10" s="9" t="s">
        <v>312</v>
      </c>
      <c r="B10" s="9"/>
      <c r="C10" s="23" t="s">
        <v>110</v>
      </c>
      <c r="D10" s="13" t="s">
        <v>221</v>
      </c>
      <c r="E10" s="46">
        <v>46310</v>
      </c>
      <c r="F10" s="46"/>
    </row>
    <row r="11" spans="1:6" ht="31.5" customHeight="1" x14ac:dyDescent="0.55000000000000004">
      <c r="A11" s="9" t="s">
        <v>313</v>
      </c>
      <c r="B11" s="9"/>
      <c r="C11" s="1" t="str">
        <f>IF(C9="","BLOCKED - written justification is mandatory",IF(C10="Approved","Contract deadline updated to "&amp;TEXT(E7,"dd-mmm-yyyy")&amp;"; automated alerts reset","Request rejected - original deadline stays; Overdue / Breached flag applies if it passes"))</f>
        <v>Contract deadline updated to 31-Jan-2027; automated alerts reset</v>
      </c>
      <c r="D11" s="1"/>
      <c r="E11" s="1"/>
      <c r="F11" s="1"/>
    </row>
    <row r="14" spans="1:6" ht="30.75" customHeight="1" x14ac:dyDescent="0.55000000000000004">
      <c r="A14" s="43" t="s">
        <v>314</v>
      </c>
      <c r="B14" s="43"/>
      <c r="C14" s="43"/>
      <c r="D14" s="43" t="s">
        <v>224</v>
      </c>
      <c r="E14" s="43"/>
      <c r="F14" s="43"/>
    </row>
    <row r="15" spans="1:6" ht="19.5" customHeight="1" x14ac:dyDescent="0.55000000000000004">
      <c r="A15" s="8" t="s">
        <v>151</v>
      </c>
      <c r="B15" s="8"/>
      <c r="C15" s="8"/>
      <c r="D15" s="8" t="s">
        <v>151</v>
      </c>
      <c r="E15" s="8"/>
      <c r="F15" s="8"/>
    </row>
    <row r="16" spans="1:6" ht="19.5" customHeight="1" x14ac:dyDescent="0.55000000000000004">
      <c r="A16" s="8" t="s">
        <v>152</v>
      </c>
      <c r="B16" s="8"/>
      <c r="C16" s="8"/>
      <c r="D16" s="8" t="s">
        <v>152</v>
      </c>
      <c r="E16" s="8"/>
      <c r="F16" s="8"/>
    </row>
    <row r="17" spans="1:6" ht="43.5" customHeight="1" x14ac:dyDescent="0.55000000000000004">
      <c r="A17" s="44" t="s">
        <v>153</v>
      </c>
      <c r="B17" s="44"/>
      <c r="C17" s="44"/>
      <c r="D17" s="44" t="s">
        <v>153</v>
      </c>
      <c r="E17" s="44"/>
      <c r="F17" s="44"/>
    </row>
    <row r="18" spans="1:6" ht="19.5" customHeight="1" x14ac:dyDescent="0.55000000000000004">
      <c r="A18" s="8" t="s">
        <v>154</v>
      </c>
      <c r="B18" s="8"/>
      <c r="C18" s="8"/>
      <c r="D18" s="8" t="s">
        <v>154</v>
      </c>
      <c r="E18" s="8"/>
      <c r="F18" s="8"/>
    </row>
    <row r="20" spans="1:6" ht="18" customHeight="1" x14ac:dyDescent="0.55000000000000004">
      <c r="A20" s="9" t="s">
        <v>124</v>
      </c>
      <c r="B20" s="9"/>
      <c r="C20" s="9"/>
      <c r="D20" s="9"/>
      <c r="E20" s="9"/>
      <c r="F20" s="9"/>
    </row>
    <row r="21" spans="1:6" ht="43.5" customHeight="1" x14ac:dyDescent="0.55000000000000004">
      <c r="A21" s="7" t="s">
        <v>315</v>
      </c>
      <c r="B21" s="7"/>
      <c r="C21" s="7"/>
      <c r="D21" s="7"/>
      <c r="E21" s="7"/>
      <c r="F21" s="7"/>
    </row>
  </sheetData>
  <mergeCells count="30">
    <mergeCell ref="A21:F21"/>
    <mergeCell ref="A17:C17"/>
    <mergeCell ref="D17:F17"/>
    <mergeCell ref="A18:C18"/>
    <mergeCell ref="D18:F18"/>
    <mergeCell ref="A20:F20"/>
    <mergeCell ref="A14:C14"/>
    <mergeCell ref="D14:F14"/>
    <mergeCell ref="A15:C15"/>
    <mergeCell ref="D15:F15"/>
    <mergeCell ref="A16:C16"/>
    <mergeCell ref="D16:F16"/>
    <mergeCell ref="A9:B9"/>
    <mergeCell ref="C9:F9"/>
    <mergeCell ref="A10:B10"/>
    <mergeCell ref="E10:F10"/>
    <mergeCell ref="A11:B11"/>
    <mergeCell ref="C11:F11"/>
    <mergeCell ref="A6:B6"/>
    <mergeCell ref="E6:F6"/>
    <mergeCell ref="A7:B7"/>
    <mergeCell ref="E7:F7"/>
    <mergeCell ref="A8:B8"/>
    <mergeCell ref="E8:F8"/>
    <mergeCell ref="A1:B3"/>
    <mergeCell ref="C1:F1"/>
    <mergeCell ref="C2:F2"/>
    <mergeCell ref="C3:F3"/>
    <mergeCell ref="A5:B5"/>
    <mergeCell ref="E5:F5"/>
  </mergeCells>
  <dataValidations count="1">
    <dataValidation type="list" allowBlank="1" sqref="C10" xr:uid="{00000000-0002-0000-0800-000000000000}">
      <formula1>"Approved,Rejected"</formula1>
      <formula2>0</formula2>
    </dataValidation>
  </dataValidations>
  <pageMargins left="0.5" right="0.5" top="1" bottom="1" header="0.511811023622047" footer="0.5"/>
  <pageSetup paperSize="9" fitToHeight="0" orientation="portrait" horizontalDpi="300" verticalDpi="300"/>
  <headerFooter>
    <oddFooter>&amp;LPC-08 | Crest Point Consulting Group&amp;CPage &amp;P of &amp;N&amp;RStrictly Confidential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pageSetUpPr fitToPage="1"/>
  </sheetPr>
  <dimension ref="A1:F25"/>
  <sheetViews>
    <sheetView showGridLines="0" zoomScaleNormal="100" workbookViewId="0"/>
  </sheetViews>
  <sheetFormatPr defaultColWidth="8.68359375" defaultRowHeight="14.4" x14ac:dyDescent="0.55000000000000004"/>
  <cols>
    <col min="1" max="1" width="7" customWidth="1"/>
    <col min="2" max="2" width="16" customWidth="1"/>
    <col min="3" max="3" width="32" customWidth="1"/>
    <col min="4" max="4" width="36" customWidth="1"/>
    <col min="5" max="6" width="17" customWidth="1"/>
  </cols>
  <sheetData>
    <row r="1" spans="1:6" ht="43.5" customHeight="1" x14ac:dyDescent="0.55000000000000004">
      <c r="A1" s="6" t="s">
        <v>95</v>
      </c>
      <c r="B1" s="6"/>
      <c r="C1" s="5" t="s">
        <v>0</v>
      </c>
      <c r="D1" s="5"/>
      <c r="E1" s="5"/>
      <c r="F1" s="5"/>
    </row>
    <row r="2" spans="1:6" ht="21.75" customHeight="1" x14ac:dyDescent="0.55000000000000004">
      <c r="A2" s="6"/>
      <c r="B2" s="6"/>
      <c r="C2" s="4" t="s">
        <v>316</v>
      </c>
      <c r="D2" s="4"/>
      <c r="E2" s="4"/>
      <c r="F2" s="4"/>
    </row>
    <row r="3" spans="1:6" ht="30.75" customHeight="1" x14ac:dyDescent="0.55000000000000004">
      <c r="A3" s="6"/>
      <c r="B3" s="6"/>
      <c r="C3" s="3" t="s">
        <v>317</v>
      </c>
      <c r="D3" s="3"/>
      <c r="E3" s="3"/>
      <c r="F3" s="3"/>
    </row>
    <row r="5" spans="1:6" ht="18" customHeight="1" x14ac:dyDescent="0.55000000000000004">
      <c r="A5" s="2" t="s">
        <v>318</v>
      </c>
      <c r="B5" s="2"/>
      <c r="C5" s="2"/>
      <c r="D5" s="2"/>
      <c r="E5" s="2"/>
      <c r="F5" s="2"/>
    </row>
    <row r="6" spans="1:6" ht="19.5" customHeight="1" x14ac:dyDescent="0.55000000000000004">
      <c r="A6" s="9" t="s">
        <v>319</v>
      </c>
      <c r="B6" s="9"/>
      <c r="C6" s="25" t="s">
        <v>320</v>
      </c>
      <c r="D6" s="13" t="s">
        <v>321</v>
      </c>
      <c r="E6" s="46">
        <v>46301</v>
      </c>
      <c r="F6" s="46"/>
    </row>
    <row r="7" spans="1:6" ht="19.5" customHeight="1" x14ac:dyDescent="0.55000000000000004">
      <c r="A7" s="9" t="s">
        <v>234</v>
      </c>
      <c r="B7" s="9"/>
      <c r="C7" s="23" t="s">
        <v>235</v>
      </c>
      <c r="D7" s="13" t="s">
        <v>322</v>
      </c>
      <c r="E7" s="42" t="s">
        <v>237</v>
      </c>
      <c r="F7" s="42"/>
    </row>
    <row r="8" spans="1:6" ht="19.5" customHeight="1" x14ac:dyDescent="0.55000000000000004">
      <c r="A8" s="9" t="s">
        <v>162</v>
      </c>
      <c r="B8" s="9"/>
      <c r="C8" s="25" t="s">
        <v>323</v>
      </c>
      <c r="D8" s="13" t="s">
        <v>99</v>
      </c>
      <c r="E8" s="1" t="s">
        <v>324</v>
      </c>
      <c r="F8" s="1"/>
    </row>
    <row r="9" spans="1:6" ht="30.75" customHeight="1" x14ac:dyDescent="0.55000000000000004">
      <c r="A9" s="9" t="s">
        <v>325</v>
      </c>
      <c r="B9" s="9"/>
      <c r="C9" s="42" t="s">
        <v>326</v>
      </c>
      <c r="D9" s="42"/>
      <c r="E9" s="42"/>
      <c r="F9" s="42"/>
    </row>
    <row r="10" spans="1:6" ht="19.5" customHeight="1" x14ac:dyDescent="0.55000000000000004">
      <c r="A10" s="9" t="s">
        <v>327</v>
      </c>
      <c r="B10" s="9"/>
      <c r="C10" s="24">
        <v>46300</v>
      </c>
      <c r="D10" s="13" t="s">
        <v>328</v>
      </c>
      <c r="E10" s="53">
        <v>1</v>
      </c>
      <c r="F10" s="53"/>
    </row>
    <row r="11" spans="1:6" ht="30.75" customHeight="1" x14ac:dyDescent="0.55000000000000004">
      <c r="A11" s="9" t="s">
        <v>329</v>
      </c>
      <c r="B11" s="9"/>
      <c r="C11" s="23" t="s">
        <v>330</v>
      </c>
      <c r="D11" s="13" t="s">
        <v>331</v>
      </c>
      <c r="E11" s="42" t="s">
        <v>332</v>
      </c>
      <c r="F11" s="42"/>
    </row>
    <row r="12" spans="1:6" ht="19.5" customHeight="1" x14ac:dyDescent="0.55000000000000004">
      <c r="A12" s="9" t="s">
        <v>333</v>
      </c>
      <c r="B12" s="9"/>
      <c r="C12" s="26">
        <v>800000</v>
      </c>
      <c r="D12" s="13" t="s">
        <v>334</v>
      </c>
      <c r="E12" s="48">
        <v>800000</v>
      </c>
      <c r="F12" s="48"/>
    </row>
    <row r="13" spans="1:6" ht="30.75" customHeight="1" x14ac:dyDescent="0.55000000000000004">
      <c r="A13" s="9" t="s">
        <v>335</v>
      </c>
      <c r="B13" s="9"/>
      <c r="C13" s="25" t="s">
        <v>336</v>
      </c>
      <c r="D13" s="13" t="s">
        <v>216</v>
      </c>
      <c r="E13" s="1" t="s">
        <v>337</v>
      </c>
      <c r="F13" s="1"/>
    </row>
    <row r="14" spans="1:6" ht="30.75" customHeight="1" x14ac:dyDescent="0.55000000000000004">
      <c r="A14" s="9" t="s">
        <v>149</v>
      </c>
      <c r="B14" s="9"/>
      <c r="C14" s="1" t="s">
        <v>338</v>
      </c>
      <c r="D14" s="1"/>
      <c r="E14" s="1"/>
      <c r="F14" s="1"/>
    </row>
    <row r="16" spans="1:6" ht="30.75" customHeight="1" x14ac:dyDescent="0.55000000000000004">
      <c r="A16" s="43" t="s">
        <v>339</v>
      </c>
      <c r="B16" s="43"/>
      <c r="C16" s="43"/>
      <c r="D16" s="27" t="s">
        <v>340</v>
      </c>
      <c r="E16" s="43" t="s">
        <v>341</v>
      </c>
      <c r="F16" s="43"/>
    </row>
    <row r="17" spans="1:6" ht="19.5" customHeight="1" x14ac:dyDescent="0.55000000000000004">
      <c r="A17" s="8" t="s">
        <v>151</v>
      </c>
      <c r="B17" s="8"/>
      <c r="C17" s="8"/>
      <c r="D17" s="15" t="s">
        <v>151</v>
      </c>
      <c r="E17" s="8" t="s">
        <v>151</v>
      </c>
      <c r="F17" s="8"/>
    </row>
    <row r="18" spans="1:6" ht="19.5" customHeight="1" x14ac:dyDescent="0.55000000000000004">
      <c r="A18" s="8" t="s">
        <v>152</v>
      </c>
      <c r="B18" s="8"/>
      <c r="C18" s="8"/>
      <c r="D18" s="15" t="s">
        <v>152</v>
      </c>
      <c r="E18" s="8" t="s">
        <v>152</v>
      </c>
      <c r="F18" s="8"/>
    </row>
    <row r="19" spans="1:6" ht="43.5" customHeight="1" x14ac:dyDescent="0.55000000000000004">
      <c r="A19" s="44" t="s">
        <v>153</v>
      </c>
      <c r="B19" s="44"/>
      <c r="C19" s="44"/>
      <c r="D19" s="28" t="s">
        <v>153</v>
      </c>
      <c r="E19" s="44" t="s">
        <v>153</v>
      </c>
      <c r="F19" s="44"/>
    </row>
    <row r="20" spans="1:6" ht="19.5" customHeight="1" x14ac:dyDescent="0.55000000000000004">
      <c r="A20" s="8" t="s">
        <v>154</v>
      </c>
      <c r="B20" s="8"/>
      <c r="C20" s="8"/>
      <c r="D20" s="15" t="s">
        <v>154</v>
      </c>
      <c r="E20" s="8" t="s">
        <v>154</v>
      </c>
      <c r="F20" s="8"/>
    </row>
    <row r="22" spans="1:6" ht="18" customHeight="1" x14ac:dyDescent="0.55000000000000004">
      <c r="A22" s="9" t="s">
        <v>124</v>
      </c>
      <c r="B22" s="9"/>
      <c r="C22" s="9"/>
      <c r="D22" s="9"/>
      <c r="E22" s="9"/>
      <c r="F22" s="9"/>
    </row>
    <row r="23" spans="1:6" ht="31.5" customHeight="1" x14ac:dyDescent="0.55000000000000004">
      <c r="A23" s="7" t="s">
        <v>342</v>
      </c>
      <c r="B23" s="7"/>
      <c r="C23" s="7"/>
      <c r="D23" s="7"/>
      <c r="E23" s="7"/>
      <c r="F23" s="7"/>
    </row>
    <row r="24" spans="1:6" ht="31.5" customHeight="1" x14ac:dyDescent="0.55000000000000004">
      <c r="A24" s="7" t="s">
        <v>343</v>
      </c>
      <c r="B24" s="7"/>
      <c r="C24" s="7"/>
      <c r="D24" s="7"/>
      <c r="E24" s="7"/>
      <c r="F24" s="7"/>
    </row>
    <row r="25" spans="1:6" ht="31.5" customHeight="1" x14ac:dyDescent="0.55000000000000004">
      <c r="A25" s="7" t="s">
        <v>344</v>
      </c>
      <c r="B25" s="7"/>
      <c r="C25" s="7"/>
      <c r="D25" s="7"/>
      <c r="E25" s="7"/>
      <c r="F25" s="7"/>
    </row>
  </sheetData>
  <mergeCells count="37">
    <mergeCell ref="A23:F23"/>
    <mergeCell ref="A24:F24"/>
    <mergeCell ref="A25:F25"/>
    <mergeCell ref="A19:C19"/>
    <mergeCell ref="E19:F19"/>
    <mergeCell ref="A20:C20"/>
    <mergeCell ref="E20:F20"/>
    <mergeCell ref="A22:F22"/>
    <mergeCell ref="A16:C16"/>
    <mergeCell ref="E16:F16"/>
    <mergeCell ref="A17:C17"/>
    <mergeCell ref="E17:F17"/>
    <mergeCell ref="A18:C18"/>
    <mergeCell ref="E18:F18"/>
    <mergeCell ref="A12:B12"/>
    <mergeCell ref="E12:F12"/>
    <mergeCell ref="A13:B13"/>
    <mergeCell ref="E13:F13"/>
    <mergeCell ref="A14:B14"/>
    <mergeCell ref="C14:F14"/>
    <mergeCell ref="A9:B9"/>
    <mergeCell ref="C9:F9"/>
    <mergeCell ref="A10:B10"/>
    <mergeCell ref="E10:F10"/>
    <mergeCell ref="A11:B11"/>
    <mergeCell ref="E11:F11"/>
    <mergeCell ref="A6:B6"/>
    <mergeCell ref="E6:F6"/>
    <mergeCell ref="A7:B7"/>
    <mergeCell ref="E7:F7"/>
    <mergeCell ref="A8:B8"/>
    <mergeCell ref="E8:F8"/>
    <mergeCell ref="A1:B3"/>
    <mergeCell ref="C1:F1"/>
    <mergeCell ref="C2:F2"/>
    <mergeCell ref="C3:F3"/>
    <mergeCell ref="A5:F5"/>
  </mergeCells>
  <pageMargins left="0.5" right="0.5" top="1" bottom="1" header="0.511811023622047" footer="0.5"/>
  <pageSetup paperSize="9" fitToHeight="0" orientation="portrait" horizontalDpi="300" verticalDpi="300"/>
  <headerFooter>
    <oddFooter>&amp;LPC-09 | Crest Point Consulting Group&amp;CPage &amp;P of &amp;N&amp;RStrictly Confidential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pageSetUpPr fitToPage="1"/>
  </sheetPr>
  <dimension ref="A1:F31"/>
  <sheetViews>
    <sheetView showGridLines="0" zoomScaleNormal="100" workbookViewId="0"/>
  </sheetViews>
  <sheetFormatPr defaultColWidth="8.68359375" defaultRowHeight="14.4" x14ac:dyDescent="0.55000000000000004"/>
  <cols>
    <col min="1" max="1" width="7" customWidth="1"/>
    <col min="2" max="2" width="16" customWidth="1"/>
    <col min="3" max="3" width="32" customWidth="1"/>
    <col min="4" max="4" width="36" customWidth="1"/>
    <col min="5" max="6" width="17" customWidth="1"/>
  </cols>
  <sheetData>
    <row r="1" spans="1:6" ht="43.5" customHeight="1" x14ac:dyDescent="0.55000000000000004">
      <c r="A1" s="6" t="s">
        <v>95</v>
      </c>
      <c r="B1" s="6"/>
      <c r="C1" s="5" t="s">
        <v>0</v>
      </c>
      <c r="D1" s="5"/>
      <c r="E1" s="5"/>
      <c r="F1" s="5"/>
    </row>
    <row r="2" spans="1:6" ht="21.75" customHeight="1" x14ac:dyDescent="0.55000000000000004">
      <c r="A2" s="6"/>
      <c r="B2" s="6"/>
      <c r="C2" s="4" t="s">
        <v>345</v>
      </c>
      <c r="D2" s="4"/>
      <c r="E2" s="4"/>
      <c r="F2" s="4"/>
    </row>
    <row r="3" spans="1:6" ht="30.75" customHeight="1" x14ac:dyDescent="0.55000000000000004">
      <c r="A3" s="6"/>
      <c r="B3" s="6"/>
      <c r="C3" s="3" t="s">
        <v>346</v>
      </c>
      <c r="D3" s="3"/>
      <c r="E3" s="3"/>
      <c r="F3" s="3"/>
    </row>
    <row r="5" spans="1:6" ht="19.5" customHeight="1" x14ac:dyDescent="0.55000000000000004">
      <c r="A5" s="9" t="s">
        <v>347</v>
      </c>
      <c r="B5" s="9"/>
      <c r="C5" s="25" t="s">
        <v>348</v>
      </c>
      <c r="D5" s="13" t="s">
        <v>349</v>
      </c>
      <c r="E5" s="46">
        <v>46302</v>
      </c>
      <c r="F5" s="46"/>
    </row>
    <row r="6" spans="1:6" ht="19.5" customHeight="1" x14ac:dyDescent="0.55000000000000004">
      <c r="A6" s="9" t="s">
        <v>350</v>
      </c>
      <c r="B6" s="9"/>
      <c r="C6" s="23" t="s">
        <v>351</v>
      </c>
      <c r="D6" s="13" t="s">
        <v>352</v>
      </c>
      <c r="E6" s="42" t="s">
        <v>320</v>
      </c>
      <c r="F6" s="42"/>
    </row>
    <row r="7" spans="1:6" ht="19.5" customHeight="1" x14ac:dyDescent="0.55000000000000004">
      <c r="A7" s="9" t="s">
        <v>353</v>
      </c>
      <c r="B7" s="9"/>
      <c r="C7" s="25" t="s">
        <v>235</v>
      </c>
      <c r="D7" s="13" t="s">
        <v>354</v>
      </c>
      <c r="E7" s="1" t="s">
        <v>355</v>
      </c>
      <c r="F7" s="1"/>
    </row>
    <row r="8" spans="1:6" ht="19.5" customHeight="1" x14ac:dyDescent="0.55000000000000004">
      <c r="A8" s="9" t="s">
        <v>333</v>
      </c>
      <c r="B8" s="9"/>
      <c r="C8" s="26">
        <v>800000</v>
      </c>
      <c r="D8" s="13" t="s">
        <v>356</v>
      </c>
      <c r="E8" s="41">
        <v>800000</v>
      </c>
      <c r="F8" s="41"/>
    </row>
    <row r="9" spans="1:6" ht="30.75" customHeight="1" x14ac:dyDescent="0.55000000000000004">
      <c r="A9" s="9" t="s">
        <v>334</v>
      </c>
      <c r="B9" s="9"/>
      <c r="C9" s="26">
        <v>800000</v>
      </c>
      <c r="D9" s="13" t="s">
        <v>357</v>
      </c>
      <c r="E9" s="42" t="s">
        <v>111</v>
      </c>
      <c r="F9" s="42"/>
    </row>
    <row r="11" spans="1:6" ht="18" customHeight="1" x14ac:dyDescent="0.55000000000000004">
      <c r="A11" s="2" t="s">
        <v>358</v>
      </c>
      <c r="B11" s="2"/>
      <c r="C11" s="2"/>
      <c r="D11" s="2"/>
      <c r="E11" s="2"/>
      <c r="F11" s="2"/>
    </row>
    <row r="12" spans="1:6" ht="18" customHeight="1" x14ac:dyDescent="0.55000000000000004">
      <c r="A12" s="39" t="s">
        <v>167</v>
      </c>
      <c r="B12" s="9" t="s">
        <v>218</v>
      </c>
      <c r="C12" s="9"/>
      <c r="D12" s="9"/>
      <c r="E12" s="39" t="s">
        <v>222</v>
      </c>
      <c r="F12" s="13" t="s">
        <v>359</v>
      </c>
    </row>
    <row r="13" spans="1:6" ht="31.5" customHeight="1" x14ac:dyDescent="0.55000000000000004">
      <c r="A13" s="20">
        <v>1</v>
      </c>
      <c r="B13" s="8" t="s">
        <v>360</v>
      </c>
      <c r="C13" s="8"/>
      <c r="D13" s="8"/>
      <c r="E13" s="16" t="str">
        <f>E9</f>
        <v>Yes</v>
      </c>
      <c r="F13" s="23"/>
    </row>
    <row r="14" spans="1:6" ht="31.5" customHeight="1" x14ac:dyDescent="0.55000000000000004">
      <c r="A14" s="20">
        <v>2</v>
      </c>
      <c r="B14" s="8" t="s">
        <v>361</v>
      </c>
      <c r="C14" s="8"/>
      <c r="D14" s="8"/>
      <c r="E14" s="16" t="str">
        <f>IF(C8=E8,"Yes","No")</f>
        <v>Yes</v>
      </c>
      <c r="F14" s="23"/>
    </row>
    <row r="15" spans="1:6" ht="31.5" customHeight="1" x14ac:dyDescent="0.55000000000000004">
      <c r="A15" s="20">
        <v>3</v>
      </c>
      <c r="B15" s="8" t="s">
        <v>362</v>
      </c>
      <c r="C15" s="8"/>
      <c r="D15" s="8"/>
      <c r="E15" s="16" t="str">
        <f>IF(E8&lt;=C8,"Yes","No")</f>
        <v>Yes</v>
      </c>
      <c r="F15" s="23"/>
    </row>
    <row r="16" spans="1:6" ht="21.75" customHeight="1" x14ac:dyDescent="0.55000000000000004">
      <c r="A16" s="9" t="s">
        <v>363</v>
      </c>
      <c r="B16" s="9"/>
      <c r="C16" s="1" t="str">
        <f>IF(COUNTBLANK(E13:E15)&gt;0,"INCOMPLETE",IF(COUNTIF(E13:E15,"No")&gt;0,"REJECT","VERIFY"))</f>
        <v>VERIFY</v>
      </c>
      <c r="D16" s="1"/>
      <c r="E16" s="1"/>
      <c r="F16" s="1"/>
    </row>
    <row r="17" spans="1:6" ht="30.75" customHeight="1" x14ac:dyDescent="0.55000000000000004">
      <c r="A17" s="9" t="s">
        <v>364</v>
      </c>
      <c r="B17" s="9"/>
      <c r="C17" s="23" t="s">
        <v>365</v>
      </c>
      <c r="D17" s="13" t="s">
        <v>221</v>
      </c>
      <c r="E17" s="46">
        <v>46302</v>
      </c>
      <c r="F17" s="46"/>
    </row>
    <row r="18" spans="1:6" ht="33.75" customHeight="1" x14ac:dyDescent="0.55000000000000004">
      <c r="A18" s="9" t="s">
        <v>366</v>
      </c>
      <c r="B18" s="9"/>
      <c r="C18" s="42"/>
      <c r="D18" s="42"/>
      <c r="E18" s="42"/>
      <c r="F18" s="42"/>
    </row>
    <row r="19" spans="1:6" ht="43.5" customHeight="1" x14ac:dyDescent="0.55000000000000004">
      <c r="A19" s="9" t="s">
        <v>367</v>
      </c>
      <c r="B19" s="9"/>
      <c r="C19" s="1" t="str">
        <f>IF(C6="Goods Receipt Note","Notification with IC comments to the Inventory Department Head -&gt; Head unlocks -&gt; Inventory Officer corrects and resubmits -&gt; Head re-approves -&gt; back to IC","Notification with IC comments to the Requesting Department Head -&gt; Head unlocks -&gt; staff corrects and resubmits -&gt; Head re-approves -&gt; back to IC")</f>
        <v>Notification with IC comments to the Requesting Department Head -&gt; Head unlocks -&gt; staff corrects and resubmits -&gt; Head re-approves -&gt; back to IC</v>
      </c>
      <c r="D19" s="1"/>
      <c r="E19" s="1"/>
      <c r="F19" s="1"/>
    </row>
    <row r="20" spans="1:6" ht="43.5" customHeight="1" x14ac:dyDescent="0.55000000000000004">
      <c r="A20" s="9" t="s">
        <v>368</v>
      </c>
      <c r="B20" s="9"/>
      <c r="C20" s="1" t="s">
        <v>369</v>
      </c>
      <c r="D20" s="1"/>
      <c r="E20" s="1"/>
      <c r="F20" s="1"/>
    </row>
    <row r="22" spans="1:6" ht="30.75" customHeight="1" x14ac:dyDescent="0.55000000000000004">
      <c r="A22" s="43" t="s">
        <v>370</v>
      </c>
      <c r="B22" s="43"/>
      <c r="C22" s="43"/>
      <c r="D22" s="27" t="s">
        <v>371</v>
      </c>
      <c r="E22" s="43" t="s">
        <v>341</v>
      </c>
      <c r="F22" s="43"/>
    </row>
    <row r="23" spans="1:6" ht="19.5" customHeight="1" x14ac:dyDescent="0.55000000000000004">
      <c r="A23" s="8" t="s">
        <v>151</v>
      </c>
      <c r="B23" s="8"/>
      <c r="C23" s="8"/>
      <c r="D23" s="15" t="s">
        <v>151</v>
      </c>
      <c r="E23" s="8" t="s">
        <v>151</v>
      </c>
      <c r="F23" s="8"/>
    </row>
    <row r="24" spans="1:6" ht="19.5" customHeight="1" x14ac:dyDescent="0.55000000000000004">
      <c r="A24" s="8" t="s">
        <v>152</v>
      </c>
      <c r="B24" s="8"/>
      <c r="C24" s="8"/>
      <c r="D24" s="15" t="s">
        <v>152</v>
      </c>
      <c r="E24" s="8" t="s">
        <v>152</v>
      </c>
      <c r="F24" s="8"/>
    </row>
    <row r="25" spans="1:6" ht="43.5" customHeight="1" x14ac:dyDescent="0.55000000000000004">
      <c r="A25" s="44" t="s">
        <v>153</v>
      </c>
      <c r="B25" s="44"/>
      <c r="C25" s="44"/>
      <c r="D25" s="28" t="s">
        <v>153</v>
      </c>
      <c r="E25" s="44" t="s">
        <v>153</v>
      </c>
      <c r="F25" s="44"/>
    </row>
    <row r="26" spans="1:6" ht="19.5" customHeight="1" x14ac:dyDescent="0.55000000000000004">
      <c r="A26" s="8" t="s">
        <v>154</v>
      </c>
      <c r="B26" s="8"/>
      <c r="C26" s="8"/>
      <c r="D26" s="15" t="s">
        <v>154</v>
      </c>
      <c r="E26" s="8" t="s">
        <v>154</v>
      </c>
      <c r="F26" s="8"/>
    </row>
    <row r="28" spans="1:6" ht="18" customHeight="1" x14ac:dyDescent="0.55000000000000004">
      <c r="A28" s="9" t="s">
        <v>124</v>
      </c>
      <c r="B28" s="9"/>
      <c r="C28" s="9"/>
      <c r="D28" s="9"/>
      <c r="E28" s="9"/>
      <c r="F28" s="9"/>
    </row>
    <row r="29" spans="1:6" ht="31.5" customHeight="1" x14ac:dyDescent="0.55000000000000004">
      <c r="A29" s="7" t="s">
        <v>372</v>
      </c>
      <c r="B29" s="7"/>
      <c r="C29" s="7"/>
      <c r="D29" s="7"/>
      <c r="E29" s="7"/>
      <c r="F29" s="7"/>
    </row>
    <row r="30" spans="1:6" ht="31.5" customHeight="1" x14ac:dyDescent="0.55000000000000004">
      <c r="A30" s="7" t="s">
        <v>373</v>
      </c>
      <c r="B30" s="7"/>
      <c r="C30" s="7"/>
      <c r="D30" s="7"/>
      <c r="E30" s="7"/>
      <c r="F30" s="7"/>
    </row>
    <row r="31" spans="1:6" ht="31.5" customHeight="1" x14ac:dyDescent="0.55000000000000004">
      <c r="A31" s="7" t="s">
        <v>344</v>
      </c>
      <c r="B31" s="7"/>
      <c r="C31" s="7"/>
      <c r="D31" s="7"/>
      <c r="E31" s="7"/>
      <c r="F31" s="7"/>
    </row>
  </sheetData>
  <mergeCells count="43">
    <mergeCell ref="A29:F29"/>
    <mergeCell ref="A30:F30"/>
    <mergeCell ref="A31:F31"/>
    <mergeCell ref="A25:C25"/>
    <mergeCell ref="E25:F25"/>
    <mergeCell ref="A26:C26"/>
    <mergeCell ref="E26:F26"/>
    <mergeCell ref="A28:F28"/>
    <mergeCell ref="A22:C22"/>
    <mergeCell ref="E22:F22"/>
    <mergeCell ref="A23:C23"/>
    <mergeCell ref="E23:F23"/>
    <mergeCell ref="A24:C24"/>
    <mergeCell ref="E24:F24"/>
    <mergeCell ref="A18:B18"/>
    <mergeCell ref="C18:F18"/>
    <mergeCell ref="A19:B19"/>
    <mergeCell ref="C19:F19"/>
    <mergeCell ref="A20:B20"/>
    <mergeCell ref="C20:F20"/>
    <mergeCell ref="B14:D14"/>
    <mergeCell ref="B15:D15"/>
    <mergeCell ref="A16:B16"/>
    <mergeCell ref="C16:F16"/>
    <mergeCell ref="A17:B17"/>
    <mergeCell ref="E17:F17"/>
    <mergeCell ref="A9:B9"/>
    <mergeCell ref="E9:F9"/>
    <mergeCell ref="A11:F11"/>
    <mergeCell ref="B12:D12"/>
    <mergeCell ref="B13:D13"/>
    <mergeCell ref="A6:B6"/>
    <mergeCell ref="E6:F6"/>
    <mergeCell ref="A7:B7"/>
    <mergeCell ref="E7:F7"/>
    <mergeCell ref="A8:B8"/>
    <mergeCell ref="E8:F8"/>
    <mergeCell ref="A1:B3"/>
    <mergeCell ref="C1:F1"/>
    <mergeCell ref="C2:F2"/>
    <mergeCell ref="C3:F3"/>
    <mergeCell ref="A5:B5"/>
    <mergeCell ref="E5:F5"/>
  </mergeCells>
  <dataValidations count="3">
    <dataValidation type="list" allowBlank="1" sqref="C6" xr:uid="{00000000-0002-0000-0A00-000000000000}">
      <formula1>"Goods Receipt Note,Project Handover"</formula1>
      <formula2>0</formula2>
    </dataValidation>
    <dataValidation type="list" allowBlank="1" sqref="E9" xr:uid="{00000000-0002-0000-0A00-000001000000}">
      <formula1>"Yes,No"</formula1>
      <formula2>0</formula2>
    </dataValidation>
    <dataValidation type="list" allowBlank="1" sqref="C17" xr:uid="{00000000-0002-0000-0A00-000002000000}">
      <formula1>"Verified,Rejected"</formula1>
      <formula2>0</formula2>
    </dataValidation>
  </dataValidations>
  <pageMargins left="0.5" right="0.5" top="1" bottom="1" header="0.511811023622047" footer="0.5"/>
  <pageSetup paperSize="9" fitToHeight="0" orientation="portrait" horizontalDpi="300" verticalDpi="300"/>
  <headerFooter>
    <oddFooter>&amp;LPC-10 | Crest Point Consulting Group&amp;CPage &amp;P of &amp;N&amp;RStrictly Confidential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F7F7F"/>
    <pageSetUpPr fitToPage="1"/>
  </sheetPr>
  <dimension ref="A1:J31"/>
  <sheetViews>
    <sheetView showGridLines="0" zoomScaleNormal="100" workbookViewId="0"/>
  </sheetViews>
  <sheetFormatPr defaultColWidth="8.68359375" defaultRowHeight="14.4" x14ac:dyDescent="0.55000000000000004"/>
  <cols>
    <col min="1" max="1" width="16" customWidth="1"/>
    <col min="2" max="2" width="13" customWidth="1"/>
    <col min="3" max="5" width="16" customWidth="1"/>
    <col min="6" max="6" width="24" customWidth="1"/>
    <col min="7" max="7" width="16" customWidth="1"/>
    <col min="8" max="8" width="20" customWidth="1"/>
    <col min="9" max="9" width="18" customWidth="1"/>
    <col min="10" max="10" width="22" customWidth="1"/>
  </cols>
  <sheetData>
    <row r="1" spans="1:10" ht="30.75" customHeight="1" x14ac:dyDescent="0.55000000000000004">
      <c r="A1" s="6" t="s">
        <v>95</v>
      </c>
      <c r="B1" s="6"/>
      <c r="C1" s="5" t="s">
        <v>0</v>
      </c>
      <c r="D1" s="5"/>
      <c r="E1" s="5"/>
      <c r="F1" s="5"/>
      <c r="G1" s="5"/>
      <c r="H1" s="5"/>
      <c r="I1" s="5"/>
      <c r="J1" s="5"/>
    </row>
    <row r="2" spans="1:10" ht="21.75" customHeight="1" x14ac:dyDescent="0.55000000000000004">
      <c r="A2" s="6"/>
      <c r="B2" s="6"/>
      <c r="C2" s="4" t="s">
        <v>374</v>
      </c>
      <c r="D2" s="4"/>
      <c r="E2" s="4"/>
      <c r="F2" s="4"/>
      <c r="G2" s="4"/>
      <c r="H2" s="4"/>
      <c r="I2" s="4"/>
      <c r="J2" s="4"/>
    </row>
    <row r="3" spans="1:10" ht="21.75" customHeight="1" x14ac:dyDescent="0.55000000000000004">
      <c r="A3" s="6"/>
      <c r="B3" s="6"/>
      <c r="C3" s="3" t="s">
        <v>375</v>
      </c>
      <c r="D3" s="3"/>
      <c r="E3" s="3"/>
      <c r="F3" s="3"/>
      <c r="G3" s="3"/>
      <c r="H3" s="3"/>
      <c r="I3" s="3"/>
      <c r="J3" s="3"/>
    </row>
    <row r="5" spans="1:10" ht="18" customHeight="1" x14ac:dyDescent="0.55000000000000004">
      <c r="A5" s="9" t="s">
        <v>376</v>
      </c>
      <c r="B5" s="9"/>
      <c r="C5" s="42" t="s">
        <v>377</v>
      </c>
      <c r="D5" s="42"/>
      <c r="E5" s="42"/>
      <c r="F5" s="13" t="s">
        <v>378</v>
      </c>
      <c r="G5" s="1" t="s">
        <v>379</v>
      </c>
      <c r="H5" s="1"/>
      <c r="I5" s="1"/>
      <c r="J5" s="1"/>
    </row>
    <row r="7" spans="1:10" ht="33.75" customHeight="1" x14ac:dyDescent="0.55000000000000004">
      <c r="A7" s="19" t="s">
        <v>353</v>
      </c>
      <c r="B7" s="19" t="s">
        <v>233</v>
      </c>
      <c r="C7" s="19" t="s">
        <v>98</v>
      </c>
      <c r="D7" s="19" t="s">
        <v>380</v>
      </c>
      <c r="E7" s="19" t="s">
        <v>162</v>
      </c>
      <c r="F7" s="19" t="s">
        <v>236</v>
      </c>
      <c r="G7" s="19" t="s">
        <v>381</v>
      </c>
      <c r="H7" s="19" t="s">
        <v>382</v>
      </c>
      <c r="I7" s="19" t="s">
        <v>216</v>
      </c>
      <c r="J7" s="19" t="s">
        <v>99</v>
      </c>
    </row>
    <row r="8" spans="1:10" ht="21.75" customHeight="1" x14ac:dyDescent="0.55000000000000004">
      <c r="A8" s="23" t="s">
        <v>383</v>
      </c>
      <c r="B8" s="24">
        <v>46285</v>
      </c>
      <c r="C8" s="23" t="s">
        <v>384</v>
      </c>
      <c r="D8" s="23" t="s">
        <v>135</v>
      </c>
      <c r="E8" s="23" t="s">
        <v>137</v>
      </c>
      <c r="F8" s="23" t="s">
        <v>173</v>
      </c>
      <c r="G8" s="29">
        <v>85000</v>
      </c>
      <c r="H8" s="23" t="s">
        <v>211</v>
      </c>
      <c r="I8" s="23" t="s">
        <v>385</v>
      </c>
      <c r="J8" s="23" t="s">
        <v>108</v>
      </c>
    </row>
    <row r="9" spans="1:10" ht="21.75" customHeight="1" x14ac:dyDescent="0.55000000000000004">
      <c r="A9" s="23" t="s">
        <v>196</v>
      </c>
      <c r="B9" s="24">
        <v>46304</v>
      </c>
      <c r="C9" s="23" t="s">
        <v>107</v>
      </c>
      <c r="D9" s="23" t="s">
        <v>135</v>
      </c>
      <c r="E9" s="23" t="s">
        <v>137</v>
      </c>
      <c r="F9" s="23" t="s">
        <v>173</v>
      </c>
      <c r="G9" s="29">
        <v>420000</v>
      </c>
      <c r="H9" s="23" t="s">
        <v>211</v>
      </c>
      <c r="I9" s="23" t="s">
        <v>386</v>
      </c>
      <c r="J9" s="23" t="s">
        <v>108</v>
      </c>
    </row>
    <row r="10" spans="1:10" ht="21.75" customHeight="1" x14ac:dyDescent="0.55000000000000004">
      <c r="A10" s="23" t="s">
        <v>268</v>
      </c>
      <c r="B10" s="24">
        <v>46188</v>
      </c>
      <c r="C10" s="23" t="s">
        <v>387</v>
      </c>
      <c r="D10" s="23" t="s">
        <v>388</v>
      </c>
      <c r="E10" s="23" t="s">
        <v>283</v>
      </c>
      <c r="F10" s="23" t="s">
        <v>173</v>
      </c>
      <c r="G10" s="29">
        <v>3000000</v>
      </c>
      <c r="H10" s="23" t="s">
        <v>389</v>
      </c>
      <c r="I10" s="23" t="s">
        <v>386</v>
      </c>
      <c r="J10" s="23" t="s">
        <v>113</v>
      </c>
    </row>
    <row r="11" spans="1:10" ht="21.75" customHeight="1" x14ac:dyDescent="0.55000000000000004">
      <c r="A11" s="23" t="s">
        <v>235</v>
      </c>
      <c r="B11" s="24">
        <v>46144</v>
      </c>
      <c r="C11" s="23" t="s">
        <v>390</v>
      </c>
      <c r="D11" s="23" t="s">
        <v>135</v>
      </c>
      <c r="E11" s="23" t="s">
        <v>323</v>
      </c>
      <c r="F11" s="23" t="s">
        <v>237</v>
      </c>
      <c r="G11" s="29">
        <v>800000</v>
      </c>
      <c r="H11" s="23" t="s">
        <v>389</v>
      </c>
      <c r="I11" s="23" t="s">
        <v>391</v>
      </c>
      <c r="J11" s="23" t="s">
        <v>324</v>
      </c>
    </row>
    <row r="12" spans="1:10" ht="21.75" customHeight="1" x14ac:dyDescent="0.55000000000000004">
      <c r="A12" s="23" t="s">
        <v>271</v>
      </c>
      <c r="B12" s="24">
        <v>46063</v>
      </c>
      <c r="C12" s="23" t="s">
        <v>392</v>
      </c>
      <c r="D12" s="23" t="s">
        <v>388</v>
      </c>
      <c r="E12" s="23" t="s">
        <v>137</v>
      </c>
      <c r="F12" s="23" t="s">
        <v>175</v>
      </c>
      <c r="G12" s="29">
        <v>2000000</v>
      </c>
      <c r="H12" s="23" t="s">
        <v>393</v>
      </c>
      <c r="I12" s="23" t="s">
        <v>394</v>
      </c>
      <c r="J12" s="23" t="s">
        <v>108</v>
      </c>
    </row>
    <row r="13" spans="1:10" ht="21.75" customHeight="1" x14ac:dyDescent="0.55000000000000004">
      <c r="A13" s="15"/>
      <c r="B13" s="15"/>
      <c r="C13" s="15"/>
      <c r="D13" s="15"/>
      <c r="E13" s="15"/>
      <c r="F13" s="15"/>
      <c r="G13" s="30"/>
      <c r="H13" s="15"/>
      <c r="I13" s="15"/>
      <c r="J13" s="15"/>
    </row>
    <row r="14" spans="1:10" ht="21.75" customHeight="1" x14ac:dyDescent="0.55000000000000004">
      <c r="A14" s="15"/>
      <c r="B14" s="15"/>
      <c r="C14" s="15"/>
      <c r="D14" s="15"/>
      <c r="E14" s="15"/>
      <c r="F14" s="15"/>
      <c r="G14" s="30"/>
      <c r="H14" s="15"/>
      <c r="I14" s="15"/>
      <c r="J14" s="15"/>
    </row>
    <row r="15" spans="1:10" ht="21.75" customHeight="1" x14ac:dyDescent="0.55000000000000004">
      <c r="A15" s="15"/>
      <c r="B15" s="15"/>
      <c r="C15" s="15"/>
      <c r="D15" s="15"/>
      <c r="E15" s="15"/>
      <c r="F15" s="15"/>
      <c r="G15" s="30"/>
      <c r="H15" s="15"/>
      <c r="I15" s="15"/>
      <c r="J15" s="15"/>
    </row>
    <row r="16" spans="1:10" ht="21.75" customHeight="1" x14ac:dyDescent="0.55000000000000004">
      <c r="A16" s="15"/>
      <c r="B16" s="15"/>
      <c r="C16" s="15"/>
      <c r="D16" s="15"/>
      <c r="E16" s="15"/>
      <c r="F16" s="15"/>
      <c r="G16" s="30"/>
      <c r="H16" s="15"/>
      <c r="I16" s="15"/>
      <c r="J16" s="15"/>
    </row>
    <row r="17" spans="1:10" ht="21.75" customHeight="1" x14ac:dyDescent="0.55000000000000004">
      <c r="A17" s="15"/>
      <c r="B17" s="15"/>
      <c r="C17" s="15"/>
      <c r="D17" s="15"/>
      <c r="E17" s="15"/>
      <c r="F17" s="15"/>
      <c r="G17" s="30"/>
      <c r="H17" s="15"/>
      <c r="I17" s="15"/>
      <c r="J17" s="15"/>
    </row>
    <row r="18" spans="1:10" ht="21.75" customHeight="1" x14ac:dyDescent="0.55000000000000004">
      <c r="A18" s="15"/>
      <c r="B18" s="15"/>
      <c r="C18" s="15"/>
      <c r="D18" s="15"/>
      <c r="E18" s="15"/>
      <c r="F18" s="15"/>
      <c r="G18" s="30"/>
      <c r="H18" s="15"/>
      <c r="I18" s="15"/>
      <c r="J18" s="15"/>
    </row>
    <row r="19" spans="1:10" ht="21.75" customHeight="1" x14ac:dyDescent="0.55000000000000004">
      <c r="A19" s="15"/>
      <c r="B19" s="15"/>
      <c r="C19" s="15"/>
      <c r="D19" s="15"/>
      <c r="E19" s="15"/>
      <c r="F19" s="15"/>
      <c r="G19" s="30"/>
      <c r="H19" s="15"/>
      <c r="I19" s="15"/>
      <c r="J19" s="15"/>
    </row>
    <row r="20" spans="1:10" ht="18" customHeight="1" x14ac:dyDescent="0.55000000000000004">
      <c r="A20" s="49" t="s">
        <v>395</v>
      </c>
      <c r="B20" s="49"/>
      <c r="C20" s="49"/>
      <c r="D20" s="49"/>
      <c r="E20" s="49"/>
      <c r="F20" s="49"/>
      <c r="G20" s="33">
        <f>SUM(G8:G19)</f>
        <v>6305000</v>
      </c>
      <c r="H20" s="54"/>
      <c r="I20" s="54"/>
      <c r="J20" s="54"/>
    </row>
    <row r="22" spans="1:10" ht="18" customHeight="1" x14ac:dyDescent="0.55000000000000004">
      <c r="A22" s="2" t="s">
        <v>396</v>
      </c>
      <c r="B22" s="2"/>
      <c r="C22" s="2"/>
      <c r="D22" s="19" t="s">
        <v>397</v>
      </c>
      <c r="E22" s="55" t="s">
        <v>381</v>
      </c>
      <c r="F22" s="55"/>
      <c r="H22" s="2" t="s">
        <v>398</v>
      </c>
      <c r="I22" s="2"/>
      <c r="J22" s="19" t="s">
        <v>397</v>
      </c>
    </row>
    <row r="23" spans="1:10" ht="18" customHeight="1" x14ac:dyDescent="0.55000000000000004">
      <c r="A23" s="9" t="s">
        <v>388</v>
      </c>
      <c r="B23" s="9"/>
      <c r="C23" s="9"/>
      <c r="D23" s="16">
        <f>COUNTIF($D$8:$D$19,A23)</f>
        <v>2</v>
      </c>
      <c r="E23" s="41">
        <f>SUMIF($D$8:$D$19,A23,$G$8:$G$19)</f>
        <v>5000000</v>
      </c>
      <c r="F23" s="41"/>
      <c r="H23" s="9" t="s">
        <v>217</v>
      </c>
      <c r="I23" s="9"/>
      <c r="J23" s="16">
        <f>COUNTIF($I$8:$I$19,H23)</f>
        <v>0</v>
      </c>
    </row>
    <row r="24" spans="1:10" ht="18" customHeight="1" x14ac:dyDescent="0.55000000000000004">
      <c r="A24" s="9" t="s">
        <v>135</v>
      </c>
      <c r="B24" s="9"/>
      <c r="C24" s="9"/>
      <c r="D24" s="16">
        <f>COUNTIF($D$8:$D$19,A24)</f>
        <v>3</v>
      </c>
      <c r="E24" s="41">
        <f>SUMIF($D$8:$D$19,A24,$G$8:$G$19)</f>
        <v>1305000</v>
      </c>
      <c r="F24" s="41"/>
      <c r="H24" s="9" t="s">
        <v>386</v>
      </c>
      <c r="I24" s="9"/>
      <c r="J24" s="16">
        <f>COUNTIF($I$8:$I$19,H24)</f>
        <v>2</v>
      </c>
    </row>
    <row r="25" spans="1:10" ht="18" customHeight="1" x14ac:dyDescent="0.55000000000000004">
      <c r="A25" s="9" t="s">
        <v>399</v>
      </c>
      <c r="B25" s="9"/>
      <c r="C25" s="9"/>
      <c r="D25" s="16">
        <f>COUNTIF($D$8:$D$19,A25)</f>
        <v>0</v>
      </c>
      <c r="E25" s="41">
        <f>SUMIF($D$8:$D$19,A25,$G$8:$G$19)</f>
        <v>0</v>
      </c>
      <c r="F25" s="41"/>
      <c r="H25" s="9" t="s">
        <v>385</v>
      </c>
      <c r="I25" s="9"/>
      <c r="J25" s="16">
        <f>COUNTIF($I$8:$I$19,H25)</f>
        <v>1</v>
      </c>
    </row>
    <row r="26" spans="1:10" ht="18" customHeight="1" x14ac:dyDescent="0.55000000000000004">
      <c r="H26" s="9" t="s">
        <v>391</v>
      </c>
      <c r="I26" s="9"/>
      <c r="J26" s="16">
        <f>COUNTIF($I$8:$I$19,H26)</f>
        <v>1</v>
      </c>
    </row>
    <row r="27" spans="1:10" ht="18" customHeight="1" x14ac:dyDescent="0.55000000000000004">
      <c r="H27" s="9" t="s">
        <v>394</v>
      </c>
      <c r="I27" s="9"/>
      <c r="J27" s="16">
        <f>COUNTIF($I$8:$I$19,H27)</f>
        <v>1</v>
      </c>
    </row>
    <row r="29" spans="1:10" ht="18" customHeight="1" x14ac:dyDescent="0.55000000000000004">
      <c r="A29" s="9" t="s">
        <v>124</v>
      </c>
      <c r="B29" s="9"/>
      <c r="C29" s="9"/>
      <c r="D29" s="9"/>
      <c r="E29" s="9"/>
      <c r="F29" s="9"/>
      <c r="G29" s="9"/>
      <c r="H29" s="9"/>
      <c r="I29" s="9"/>
      <c r="J29" s="9"/>
    </row>
    <row r="30" spans="1:10" ht="30.75" customHeight="1" x14ac:dyDescent="0.55000000000000004">
      <c r="A30" s="7" t="s">
        <v>400</v>
      </c>
      <c r="B30" s="7"/>
      <c r="C30" s="7"/>
      <c r="D30" s="7"/>
      <c r="E30" s="7"/>
      <c r="F30" s="7"/>
      <c r="G30" s="7"/>
      <c r="H30" s="7"/>
      <c r="I30" s="7"/>
      <c r="J30" s="7"/>
    </row>
    <row r="31" spans="1:10" ht="30.75" customHeight="1" x14ac:dyDescent="0.55000000000000004">
      <c r="A31" s="7" t="s">
        <v>401</v>
      </c>
      <c r="B31" s="7"/>
      <c r="C31" s="7"/>
      <c r="D31" s="7"/>
      <c r="E31" s="7"/>
      <c r="F31" s="7"/>
      <c r="G31" s="7"/>
      <c r="H31" s="7"/>
      <c r="I31" s="7"/>
      <c r="J31" s="7"/>
    </row>
  </sheetData>
  <mergeCells count="26">
    <mergeCell ref="A29:J29"/>
    <mergeCell ref="A30:J30"/>
    <mergeCell ref="A31:J31"/>
    <mergeCell ref="A25:C25"/>
    <mergeCell ref="E25:F25"/>
    <mergeCell ref="H25:I25"/>
    <mergeCell ref="H26:I26"/>
    <mergeCell ref="H27:I27"/>
    <mergeCell ref="A23:C23"/>
    <mergeCell ref="E23:F23"/>
    <mergeCell ref="H23:I23"/>
    <mergeCell ref="A24:C24"/>
    <mergeCell ref="E24:F24"/>
    <mergeCell ref="H24:I24"/>
    <mergeCell ref="A20:F20"/>
    <mergeCell ref="H20:J20"/>
    <mergeCell ref="A22:C22"/>
    <mergeCell ref="E22:F22"/>
    <mergeCell ref="H22:I22"/>
    <mergeCell ref="A1:B3"/>
    <mergeCell ref="C1:J1"/>
    <mergeCell ref="C2:J2"/>
    <mergeCell ref="C3:J3"/>
    <mergeCell ref="A5:B5"/>
    <mergeCell ref="C5:E5"/>
    <mergeCell ref="G5:J5"/>
  </mergeCells>
  <dataValidations count="2">
    <dataValidation type="list" allowBlank="1" sqref="D8:D19" xr:uid="{00000000-0002-0000-0B00-000000000000}">
      <formula1>"Tender,Quotation-Based,Direct Purchase"</formula1>
      <formula2>0</formula2>
    </dataValidation>
    <dataValidation type="list" allowBlank="1" sqref="I8:I19" xr:uid="{00000000-0002-0000-0B00-000001000000}">
      <formula1>"Raised,Sent to Supplier,Goods Received,Completed,Overdue / Breached"</formula1>
      <formula2>0</formula2>
    </dataValidation>
  </dataValidations>
  <pageMargins left="0.5" right="0.5" top="1" bottom="1" header="0.511811023622047" footer="0.5"/>
  <pageSetup paperSize="9" fitToHeight="0" orientation="landscape" horizontalDpi="300" verticalDpi="300"/>
  <headerFooter>
    <oddFooter>&amp;LPC-11 | Crest Point Consulting Group&amp;CPage &amp;P of &amp;N&amp;RStrictly Confidential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F7F7F"/>
    <pageSetUpPr fitToPage="1"/>
  </sheetPr>
  <dimension ref="A1:H30"/>
  <sheetViews>
    <sheetView showGridLines="0" zoomScaleNormal="100" workbookViewId="0">
      <pane ySplit="6" topLeftCell="A7" activePane="bottomLeft" state="frozen"/>
      <selection pane="bottomLeft"/>
    </sheetView>
  </sheetViews>
  <sheetFormatPr defaultColWidth="8.68359375" defaultRowHeight="14.4" x14ac:dyDescent="0.55000000000000004"/>
  <cols>
    <col min="1" max="1" width="12" customWidth="1"/>
    <col min="2" max="2" width="30" customWidth="1"/>
    <col min="3" max="3" width="24" customWidth="1"/>
    <col min="4" max="4" width="18" customWidth="1"/>
    <col min="5" max="5" width="36" customWidth="1"/>
    <col min="6" max="6" width="14" customWidth="1"/>
    <col min="7" max="7" width="40" customWidth="1"/>
    <col min="8" max="8" width="16" customWidth="1"/>
  </cols>
  <sheetData>
    <row r="1" spans="1:8" ht="30.75" customHeight="1" x14ac:dyDescent="0.55000000000000004">
      <c r="A1" s="6" t="s">
        <v>95</v>
      </c>
      <c r="B1" s="6"/>
      <c r="C1" s="5" t="s">
        <v>0</v>
      </c>
      <c r="D1" s="5"/>
      <c r="E1" s="5"/>
      <c r="F1" s="5"/>
      <c r="G1" s="5"/>
      <c r="H1" s="5"/>
    </row>
    <row r="2" spans="1:8" ht="21.75" customHeight="1" x14ac:dyDescent="0.55000000000000004">
      <c r="A2" s="6"/>
      <c r="B2" s="6"/>
      <c r="C2" s="4" t="s">
        <v>402</v>
      </c>
      <c r="D2" s="4"/>
      <c r="E2" s="4"/>
      <c r="F2" s="4"/>
      <c r="G2" s="4"/>
      <c r="H2" s="4"/>
    </row>
    <row r="3" spans="1:8" ht="21.75" customHeight="1" x14ac:dyDescent="0.55000000000000004">
      <c r="A3" s="6"/>
      <c r="B3" s="6"/>
      <c r="C3" s="3" t="s">
        <v>403</v>
      </c>
      <c r="D3" s="3"/>
      <c r="E3" s="3"/>
      <c r="F3" s="3"/>
      <c r="G3" s="3"/>
      <c r="H3" s="3"/>
    </row>
    <row r="5" spans="1:8" ht="30.75" customHeight="1" x14ac:dyDescent="0.55000000000000004">
      <c r="A5" s="56" t="s">
        <v>404</v>
      </c>
      <c r="B5" s="56"/>
      <c r="C5" s="56"/>
      <c r="D5" s="56"/>
      <c r="E5" s="56"/>
      <c r="F5" s="56"/>
      <c r="G5" s="56"/>
      <c r="H5" s="56"/>
    </row>
    <row r="6" spans="1:8" ht="30" customHeight="1" x14ac:dyDescent="0.55000000000000004">
      <c r="A6" s="19" t="s">
        <v>405</v>
      </c>
      <c r="B6" s="19" t="s">
        <v>168</v>
      </c>
      <c r="C6" s="19" t="s">
        <v>406</v>
      </c>
      <c r="D6" s="19" t="s">
        <v>407</v>
      </c>
      <c r="E6" s="19" t="s">
        <v>408</v>
      </c>
      <c r="F6" s="19" t="s">
        <v>216</v>
      </c>
      <c r="G6" s="19" t="s">
        <v>409</v>
      </c>
      <c r="H6" s="19" t="s">
        <v>287</v>
      </c>
    </row>
    <row r="7" spans="1:8" ht="19.5" customHeight="1" x14ac:dyDescent="0.55000000000000004">
      <c r="A7" s="23" t="s">
        <v>410</v>
      </c>
      <c r="B7" s="23" t="s">
        <v>173</v>
      </c>
      <c r="C7" s="23" t="s">
        <v>411</v>
      </c>
      <c r="D7" s="23" t="s">
        <v>412</v>
      </c>
      <c r="E7" s="23" t="s">
        <v>413</v>
      </c>
      <c r="F7" s="23" t="s">
        <v>414</v>
      </c>
      <c r="G7" s="23"/>
      <c r="H7" s="23" t="s">
        <v>148</v>
      </c>
    </row>
    <row r="8" spans="1:8" ht="19.5" customHeight="1" x14ac:dyDescent="0.55000000000000004">
      <c r="A8" s="23" t="s">
        <v>415</v>
      </c>
      <c r="B8" s="23" t="s">
        <v>175</v>
      </c>
      <c r="C8" s="23" t="s">
        <v>416</v>
      </c>
      <c r="D8" s="23" t="s">
        <v>417</v>
      </c>
      <c r="E8" s="23" t="s">
        <v>413</v>
      </c>
      <c r="F8" s="23" t="s">
        <v>414</v>
      </c>
      <c r="G8" s="23"/>
      <c r="H8" s="23" t="s">
        <v>148</v>
      </c>
    </row>
    <row r="9" spans="1:8" ht="19.5" customHeight="1" x14ac:dyDescent="0.55000000000000004">
      <c r="A9" s="23" t="s">
        <v>418</v>
      </c>
      <c r="B9" s="23" t="s">
        <v>177</v>
      </c>
      <c r="C9" s="23" t="s">
        <v>419</v>
      </c>
      <c r="D9" s="23" t="s">
        <v>420</v>
      </c>
      <c r="E9" s="23" t="s">
        <v>421</v>
      </c>
      <c r="F9" s="23" t="s">
        <v>414</v>
      </c>
      <c r="G9" s="23"/>
      <c r="H9" s="23" t="s">
        <v>148</v>
      </c>
    </row>
    <row r="10" spans="1:8" ht="19.5" customHeight="1" x14ac:dyDescent="0.55000000000000004">
      <c r="A10" s="23" t="s">
        <v>422</v>
      </c>
      <c r="B10" s="23" t="s">
        <v>179</v>
      </c>
      <c r="C10" s="23" t="s">
        <v>423</v>
      </c>
      <c r="D10" s="23" t="s">
        <v>424</v>
      </c>
      <c r="E10" s="23" t="s">
        <v>425</v>
      </c>
      <c r="F10" s="23" t="s">
        <v>426</v>
      </c>
      <c r="G10" s="23" t="s">
        <v>427</v>
      </c>
      <c r="H10" s="23" t="s">
        <v>428</v>
      </c>
    </row>
    <row r="11" spans="1:8" ht="19.5" customHeight="1" x14ac:dyDescent="0.55000000000000004">
      <c r="A11" s="23" t="s">
        <v>429</v>
      </c>
      <c r="B11" s="23" t="s">
        <v>237</v>
      </c>
      <c r="C11" s="23" t="s">
        <v>430</v>
      </c>
      <c r="D11" s="23" t="s">
        <v>431</v>
      </c>
      <c r="E11" s="23" t="s">
        <v>413</v>
      </c>
      <c r="F11" s="23" t="s">
        <v>414</v>
      </c>
      <c r="G11" s="23"/>
      <c r="H11" s="23" t="s">
        <v>148</v>
      </c>
    </row>
    <row r="12" spans="1:8" ht="19.5" customHeight="1" x14ac:dyDescent="0.55000000000000004">
      <c r="A12" s="15"/>
      <c r="B12" s="15"/>
      <c r="C12" s="15"/>
      <c r="D12" s="15"/>
      <c r="E12" s="15"/>
      <c r="F12" s="15"/>
      <c r="G12" s="15"/>
      <c r="H12" s="15"/>
    </row>
    <row r="13" spans="1:8" ht="19.5" customHeight="1" x14ac:dyDescent="0.55000000000000004">
      <c r="A13" s="15"/>
      <c r="B13" s="15"/>
      <c r="C13" s="15"/>
      <c r="D13" s="15"/>
      <c r="E13" s="15"/>
      <c r="F13" s="15"/>
      <c r="G13" s="15"/>
      <c r="H13" s="15"/>
    </row>
    <row r="14" spans="1:8" ht="19.5" customHeight="1" x14ac:dyDescent="0.55000000000000004">
      <c r="A14" s="15"/>
      <c r="B14" s="15"/>
      <c r="C14" s="15"/>
      <c r="D14" s="15"/>
      <c r="E14" s="15"/>
      <c r="F14" s="15"/>
      <c r="G14" s="15"/>
      <c r="H14" s="15"/>
    </row>
    <row r="15" spans="1:8" ht="19.5" customHeight="1" x14ac:dyDescent="0.55000000000000004">
      <c r="A15" s="15"/>
      <c r="B15" s="15"/>
      <c r="C15" s="15"/>
      <c r="D15" s="15"/>
      <c r="E15" s="15"/>
      <c r="F15" s="15"/>
      <c r="G15" s="15"/>
      <c r="H15" s="15"/>
    </row>
    <row r="16" spans="1:8" ht="19.5" customHeight="1" x14ac:dyDescent="0.55000000000000004">
      <c r="A16" s="15"/>
      <c r="B16" s="15"/>
      <c r="C16" s="15"/>
      <c r="D16" s="15"/>
      <c r="E16" s="15"/>
      <c r="F16" s="15"/>
      <c r="G16" s="15"/>
      <c r="H16" s="15"/>
    </row>
    <row r="17" spans="1:8" ht="19.5" customHeight="1" x14ac:dyDescent="0.55000000000000004">
      <c r="A17" s="15"/>
      <c r="B17" s="15"/>
      <c r="C17" s="15"/>
      <c r="D17" s="15"/>
      <c r="E17" s="15"/>
      <c r="F17" s="15"/>
      <c r="G17" s="15"/>
      <c r="H17" s="15"/>
    </row>
    <row r="18" spans="1:8" ht="19.5" customHeight="1" x14ac:dyDescent="0.55000000000000004">
      <c r="A18" s="15"/>
      <c r="B18" s="15"/>
      <c r="C18" s="15"/>
      <c r="D18" s="15"/>
      <c r="E18" s="15"/>
      <c r="F18" s="15"/>
      <c r="G18" s="15"/>
      <c r="H18" s="15"/>
    </row>
    <row r="19" spans="1:8" ht="19.5" customHeight="1" x14ac:dyDescent="0.55000000000000004">
      <c r="A19" s="15"/>
      <c r="B19" s="15"/>
      <c r="C19" s="15"/>
      <c r="D19" s="15"/>
      <c r="E19" s="15"/>
      <c r="F19" s="15"/>
      <c r="G19" s="15"/>
      <c r="H19" s="15"/>
    </row>
    <row r="20" spans="1:8" ht="19.5" customHeight="1" x14ac:dyDescent="0.55000000000000004">
      <c r="A20" s="15"/>
      <c r="B20" s="15"/>
      <c r="C20" s="15"/>
      <c r="D20" s="15"/>
      <c r="E20" s="15"/>
      <c r="F20" s="15"/>
      <c r="G20" s="15"/>
      <c r="H20" s="15"/>
    </row>
    <row r="21" spans="1:8" ht="19.5" customHeight="1" x14ac:dyDescent="0.55000000000000004">
      <c r="A21" s="15"/>
      <c r="B21" s="15"/>
      <c r="C21" s="15"/>
      <c r="D21" s="15"/>
      <c r="E21" s="15"/>
      <c r="F21" s="15"/>
      <c r="G21" s="15"/>
      <c r="H21" s="15"/>
    </row>
    <row r="22" spans="1:8" ht="19.5" customHeight="1" x14ac:dyDescent="0.55000000000000004">
      <c r="A22" s="15"/>
      <c r="B22" s="15"/>
      <c r="C22" s="15"/>
      <c r="D22" s="15"/>
      <c r="E22" s="15"/>
      <c r="F22" s="15"/>
      <c r="G22" s="15"/>
      <c r="H22" s="15"/>
    </row>
    <row r="23" spans="1:8" ht="19.5" customHeight="1" x14ac:dyDescent="0.55000000000000004">
      <c r="A23" s="15"/>
      <c r="B23" s="15"/>
      <c r="C23" s="15"/>
      <c r="D23" s="15"/>
      <c r="E23" s="15"/>
      <c r="F23" s="15"/>
      <c r="G23" s="15"/>
      <c r="H23" s="15"/>
    </row>
    <row r="24" spans="1:8" ht="19.5" customHeight="1" x14ac:dyDescent="0.55000000000000004">
      <c r="A24" s="15"/>
      <c r="B24" s="15"/>
      <c r="C24" s="15"/>
      <c r="D24" s="15"/>
      <c r="E24" s="15"/>
      <c r="F24" s="15"/>
      <c r="G24" s="15"/>
      <c r="H24" s="15"/>
    </row>
    <row r="25" spans="1:8" ht="19.5" customHeight="1" x14ac:dyDescent="0.55000000000000004">
      <c r="A25" s="15"/>
      <c r="B25" s="15"/>
      <c r="C25" s="15"/>
      <c r="D25" s="15"/>
      <c r="E25" s="15"/>
      <c r="F25" s="15"/>
      <c r="G25" s="15"/>
      <c r="H25" s="15"/>
    </row>
    <row r="26" spans="1:8" ht="19.5" customHeight="1" x14ac:dyDescent="0.55000000000000004">
      <c r="A26" s="15"/>
      <c r="B26" s="15"/>
      <c r="C26" s="15"/>
      <c r="D26" s="15"/>
      <c r="E26" s="15"/>
      <c r="F26" s="15"/>
      <c r="G26" s="15"/>
      <c r="H26" s="15"/>
    </row>
    <row r="27" spans="1:8" ht="19.5" customHeight="1" x14ac:dyDescent="0.55000000000000004">
      <c r="A27" s="15"/>
      <c r="B27" s="15"/>
      <c r="C27" s="15"/>
      <c r="D27" s="15"/>
      <c r="E27" s="15"/>
      <c r="F27" s="15"/>
      <c r="G27" s="15"/>
      <c r="H27" s="15"/>
    </row>
    <row r="28" spans="1:8" ht="19.5" customHeight="1" x14ac:dyDescent="0.55000000000000004">
      <c r="A28" s="15"/>
      <c r="B28" s="15"/>
      <c r="C28" s="15"/>
      <c r="D28" s="15"/>
      <c r="E28" s="15"/>
      <c r="F28" s="15"/>
      <c r="G28" s="15"/>
      <c r="H28" s="15"/>
    </row>
    <row r="29" spans="1:8" ht="19.5" customHeight="1" x14ac:dyDescent="0.55000000000000004">
      <c r="A29" s="15"/>
      <c r="B29" s="15"/>
      <c r="C29" s="15"/>
      <c r="D29" s="15"/>
      <c r="E29" s="15"/>
      <c r="F29" s="15"/>
      <c r="G29" s="15"/>
      <c r="H29" s="15"/>
    </row>
    <row r="30" spans="1:8" ht="19.5" customHeight="1" x14ac:dyDescent="0.55000000000000004">
      <c r="A30" s="15"/>
      <c r="B30" s="15"/>
      <c r="C30" s="15"/>
      <c r="D30" s="15"/>
      <c r="E30" s="15"/>
      <c r="F30" s="15"/>
      <c r="G30" s="15"/>
      <c r="H30" s="15"/>
    </row>
  </sheetData>
  <mergeCells count="5">
    <mergeCell ref="A1:B3"/>
    <mergeCell ref="C1:H1"/>
    <mergeCell ref="C2:H2"/>
    <mergeCell ref="C3:H3"/>
    <mergeCell ref="A5:H5"/>
  </mergeCells>
  <dataValidations count="1">
    <dataValidation type="list" allowBlank="1" sqref="F7:F30" xr:uid="{00000000-0002-0000-0C00-000000000000}">
      <formula1>"Active,Blacklisted,Barred"</formula1>
      <formula2>0</formula2>
    </dataValidation>
  </dataValidations>
  <pageMargins left="0.5" right="0.5" top="1" bottom="1" header="0.511811023622047" footer="0.5"/>
  <pageSetup paperSize="9" fitToHeight="0" orientation="landscape" horizontalDpi="300" verticalDpi="300"/>
  <headerFooter>
    <oddFooter>&amp;LPC-12 | Crest Point Consulting Group&amp;CPage &amp;P of &amp;N&amp;RStrictly Confidential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F7F7F"/>
    <pageSetUpPr fitToPage="1"/>
  </sheetPr>
  <dimension ref="A1:F18"/>
  <sheetViews>
    <sheetView showGridLines="0" zoomScaleNormal="100" workbookViewId="0"/>
  </sheetViews>
  <sheetFormatPr defaultColWidth="8.68359375" defaultRowHeight="14.4" x14ac:dyDescent="0.55000000000000004"/>
  <cols>
    <col min="1" max="1" width="6" customWidth="1"/>
    <col min="2" max="2" width="30" customWidth="1"/>
    <col min="3" max="5" width="16" customWidth="1"/>
    <col min="6" max="6" width="24" customWidth="1"/>
  </cols>
  <sheetData>
    <row r="1" spans="1:6" ht="43.5" customHeight="1" x14ac:dyDescent="0.55000000000000004">
      <c r="A1" s="6" t="s">
        <v>95</v>
      </c>
      <c r="B1" s="6"/>
      <c r="C1" s="5" t="s">
        <v>0</v>
      </c>
      <c r="D1" s="5"/>
      <c r="E1" s="5"/>
      <c r="F1" s="5"/>
    </row>
    <row r="2" spans="1:6" ht="21.75" customHeight="1" x14ac:dyDescent="0.55000000000000004">
      <c r="A2" s="6"/>
      <c r="B2" s="6"/>
      <c r="C2" s="4" t="s">
        <v>432</v>
      </c>
      <c r="D2" s="4"/>
      <c r="E2" s="4"/>
      <c r="F2" s="4"/>
    </row>
    <row r="3" spans="1:6" ht="21.75" customHeight="1" x14ac:dyDescent="0.55000000000000004">
      <c r="A3" s="6"/>
      <c r="B3" s="6"/>
      <c r="C3" s="3" t="s">
        <v>433</v>
      </c>
      <c r="D3" s="3"/>
      <c r="E3" s="3"/>
      <c r="F3" s="3"/>
    </row>
    <row r="5" spans="1:6" ht="25.5" customHeight="1" x14ac:dyDescent="0.55000000000000004">
      <c r="A5" s="19" t="s">
        <v>167</v>
      </c>
      <c r="B5" s="19" t="s">
        <v>162</v>
      </c>
      <c r="C5" s="19" t="s">
        <v>434</v>
      </c>
      <c r="D5" s="19" t="s">
        <v>216</v>
      </c>
      <c r="E5" s="19" t="s">
        <v>435</v>
      </c>
      <c r="F5" s="19" t="s">
        <v>436</v>
      </c>
    </row>
    <row r="6" spans="1:6" ht="18" customHeight="1" x14ac:dyDescent="0.55000000000000004">
      <c r="A6" s="20">
        <v>1</v>
      </c>
      <c r="B6" s="23" t="s">
        <v>137</v>
      </c>
      <c r="C6" s="23" t="s">
        <v>437</v>
      </c>
      <c r="D6" s="23" t="s">
        <v>414</v>
      </c>
      <c r="E6" s="24">
        <v>46023</v>
      </c>
      <c r="F6" s="23" t="s">
        <v>438</v>
      </c>
    </row>
    <row r="7" spans="1:6" ht="18" customHeight="1" x14ac:dyDescent="0.55000000000000004">
      <c r="A7" s="20">
        <v>2</v>
      </c>
      <c r="B7" s="23" t="s">
        <v>323</v>
      </c>
      <c r="C7" s="23" t="s">
        <v>437</v>
      </c>
      <c r="D7" s="23" t="s">
        <v>414</v>
      </c>
      <c r="E7" s="24">
        <v>46023</v>
      </c>
      <c r="F7" s="23" t="s">
        <v>438</v>
      </c>
    </row>
    <row r="8" spans="1:6" ht="18" customHeight="1" x14ac:dyDescent="0.55000000000000004">
      <c r="A8" s="20">
        <v>3</v>
      </c>
      <c r="B8" s="23" t="s">
        <v>439</v>
      </c>
      <c r="C8" s="23" t="s">
        <v>437</v>
      </c>
      <c r="D8" s="23" t="s">
        <v>414</v>
      </c>
      <c r="E8" s="24">
        <v>46023</v>
      </c>
      <c r="F8" s="23" t="s">
        <v>438</v>
      </c>
    </row>
    <row r="9" spans="1:6" ht="18" customHeight="1" x14ac:dyDescent="0.55000000000000004">
      <c r="A9" s="20">
        <v>4</v>
      </c>
      <c r="B9" s="23" t="s">
        <v>283</v>
      </c>
      <c r="C9" s="23" t="s">
        <v>437</v>
      </c>
      <c r="D9" s="23" t="s">
        <v>414</v>
      </c>
      <c r="E9" s="24">
        <v>46023</v>
      </c>
      <c r="F9" s="23" t="s">
        <v>438</v>
      </c>
    </row>
    <row r="10" spans="1:6" ht="18" customHeight="1" x14ac:dyDescent="0.55000000000000004">
      <c r="A10" s="20">
        <v>5</v>
      </c>
      <c r="B10" s="23" t="s">
        <v>440</v>
      </c>
      <c r="C10" s="23" t="s">
        <v>441</v>
      </c>
      <c r="D10" s="23" t="s">
        <v>414</v>
      </c>
      <c r="E10" s="24">
        <v>46174</v>
      </c>
      <c r="F10" s="23" t="s">
        <v>428</v>
      </c>
    </row>
    <row r="11" spans="1:6" x14ac:dyDescent="0.55000000000000004">
      <c r="A11" s="20">
        <v>6</v>
      </c>
      <c r="B11" s="15"/>
      <c r="C11" s="15"/>
      <c r="D11" s="15"/>
      <c r="E11" s="15"/>
      <c r="F11" s="15"/>
    </row>
    <row r="12" spans="1:6" x14ac:dyDescent="0.55000000000000004">
      <c r="A12" s="20">
        <v>7</v>
      </c>
      <c r="B12" s="15"/>
      <c r="C12" s="15"/>
      <c r="D12" s="15"/>
      <c r="E12" s="15"/>
      <c r="F12" s="15"/>
    </row>
    <row r="13" spans="1:6" x14ac:dyDescent="0.55000000000000004">
      <c r="A13" s="20">
        <v>8</v>
      </c>
      <c r="B13" s="15"/>
      <c r="C13" s="15"/>
      <c r="D13" s="15"/>
      <c r="E13" s="15"/>
      <c r="F13" s="15"/>
    </row>
    <row r="14" spans="1:6" x14ac:dyDescent="0.55000000000000004">
      <c r="A14" s="20">
        <v>9</v>
      </c>
      <c r="B14" s="15"/>
      <c r="C14" s="15"/>
      <c r="D14" s="15"/>
      <c r="E14" s="15"/>
      <c r="F14" s="15"/>
    </row>
    <row r="15" spans="1:6" x14ac:dyDescent="0.55000000000000004">
      <c r="A15" s="20">
        <v>10</v>
      </c>
      <c r="B15" s="15"/>
      <c r="C15" s="15"/>
      <c r="D15" s="15"/>
      <c r="E15" s="15"/>
      <c r="F15" s="15"/>
    </row>
    <row r="17" spans="1:6" ht="18" customHeight="1" x14ac:dyDescent="0.55000000000000004">
      <c r="A17" s="9" t="s">
        <v>124</v>
      </c>
      <c r="B17" s="9"/>
      <c r="C17" s="9"/>
      <c r="D17" s="9"/>
      <c r="E17" s="9"/>
      <c r="F17" s="9"/>
    </row>
    <row r="18" spans="1:6" ht="30.75" customHeight="1" x14ac:dyDescent="0.55000000000000004">
      <c r="A18" s="7" t="s">
        <v>442</v>
      </c>
      <c r="B18" s="7"/>
      <c r="C18" s="7"/>
      <c r="D18" s="7"/>
      <c r="E18" s="7"/>
      <c r="F18" s="7"/>
    </row>
  </sheetData>
  <mergeCells count="6">
    <mergeCell ref="A18:F18"/>
    <mergeCell ref="A1:B3"/>
    <mergeCell ref="C1:F1"/>
    <mergeCell ref="C2:F2"/>
    <mergeCell ref="C3:F3"/>
    <mergeCell ref="A17:F17"/>
  </mergeCells>
  <dataValidations count="2">
    <dataValidation type="list" allowBlank="1" sqref="C6:C15" xr:uid="{00000000-0002-0000-0D00-000000000000}">
      <formula1>"Default,Custom"</formula1>
      <formula2>0</formula2>
    </dataValidation>
    <dataValidation type="list" allowBlank="1" sqref="D6:D15" xr:uid="{00000000-0002-0000-0D00-000001000000}">
      <formula1>"Active,Disabled"</formula1>
      <formula2>0</formula2>
    </dataValidation>
  </dataValidations>
  <pageMargins left="0.5" right="0.5" top="1" bottom="1" header="0.511811023622047" footer="0.5"/>
  <pageSetup paperSize="9" fitToHeight="0" orientation="portrait" horizontalDpi="300" verticalDpi="300"/>
  <headerFooter>
    <oddFooter>&amp;LPC-13 | Crest Point Consulting Group&amp;CPage &amp;P of &amp;N&amp;RStrictly Confidential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F7F7F"/>
    <pageSetUpPr fitToPage="1"/>
  </sheetPr>
  <dimension ref="A1:E25"/>
  <sheetViews>
    <sheetView showGridLines="0" zoomScaleNormal="100" workbookViewId="0"/>
  </sheetViews>
  <sheetFormatPr defaultColWidth="8.68359375" defaultRowHeight="14.4" x14ac:dyDescent="0.55000000000000004"/>
  <cols>
    <col min="1" max="1" width="6" customWidth="1"/>
    <col min="2" max="2" width="46" customWidth="1"/>
    <col min="3" max="3" width="18" customWidth="1"/>
    <col min="4" max="4" width="30" customWidth="1"/>
    <col min="5" max="5" width="64" customWidth="1"/>
  </cols>
  <sheetData>
    <row r="1" spans="1:5" ht="43.5" customHeight="1" x14ac:dyDescent="0.55000000000000004">
      <c r="A1" s="6" t="s">
        <v>95</v>
      </c>
      <c r="B1" s="6"/>
      <c r="C1" s="5" t="s">
        <v>0</v>
      </c>
      <c r="D1" s="5"/>
      <c r="E1" s="5"/>
    </row>
    <row r="2" spans="1:5" ht="21.75" customHeight="1" x14ac:dyDescent="0.55000000000000004">
      <c r="A2" s="6"/>
      <c r="B2" s="6"/>
      <c r="C2" s="4" t="s">
        <v>443</v>
      </c>
      <c r="D2" s="4"/>
      <c r="E2" s="4"/>
    </row>
    <row r="3" spans="1:5" ht="30.75" customHeight="1" x14ac:dyDescent="0.55000000000000004">
      <c r="A3" s="6"/>
      <c r="B3" s="6"/>
      <c r="C3" s="3" t="s">
        <v>444</v>
      </c>
      <c r="D3" s="3"/>
      <c r="E3" s="3"/>
    </row>
    <row r="7" spans="1:5" ht="25.5" customHeight="1" x14ac:dyDescent="0.55000000000000004">
      <c r="A7" s="19" t="s">
        <v>167</v>
      </c>
      <c r="B7" s="19" t="s">
        <v>445</v>
      </c>
      <c r="C7" s="19" t="s">
        <v>446</v>
      </c>
      <c r="D7" s="19" t="s">
        <v>447</v>
      </c>
      <c r="E7" s="19" t="s">
        <v>448</v>
      </c>
    </row>
    <row r="8" spans="1:5" ht="30.75" customHeight="1" x14ac:dyDescent="0.55000000000000004">
      <c r="A8" s="20">
        <v>1</v>
      </c>
      <c r="B8" s="15" t="s">
        <v>449</v>
      </c>
      <c r="C8" s="29">
        <v>20000</v>
      </c>
      <c r="D8" s="22" t="s">
        <v>450</v>
      </c>
      <c r="E8" s="22" t="s">
        <v>451</v>
      </c>
    </row>
    <row r="9" spans="1:5" ht="30" customHeight="1" x14ac:dyDescent="0.55000000000000004">
      <c r="A9" s="20">
        <v>2</v>
      </c>
      <c r="B9" s="15" t="s">
        <v>452</v>
      </c>
      <c r="C9" s="29">
        <v>20000</v>
      </c>
      <c r="D9" s="22" t="s">
        <v>453</v>
      </c>
      <c r="E9" s="22" t="s">
        <v>454</v>
      </c>
    </row>
    <row r="10" spans="1:5" ht="43.5" customHeight="1" x14ac:dyDescent="0.55000000000000004">
      <c r="A10" s="20">
        <v>3</v>
      </c>
      <c r="B10" s="15" t="s">
        <v>455</v>
      </c>
      <c r="C10" s="29"/>
      <c r="D10" s="22" t="s">
        <v>456</v>
      </c>
      <c r="E10" s="22" t="s">
        <v>457</v>
      </c>
    </row>
    <row r="11" spans="1:5" ht="30.75" customHeight="1" x14ac:dyDescent="0.55000000000000004">
      <c r="A11" s="20">
        <v>4</v>
      </c>
      <c r="B11" s="15" t="s">
        <v>458</v>
      </c>
      <c r="C11" s="40">
        <v>3</v>
      </c>
      <c r="D11" s="22" t="s">
        <v>459</v>
      </c>
      <c r="E11" s="22" t="s">
        <v>460</v>
      </c>
    </row>
    <row r="12" spans="1:5" ht="30.75" customHeight="1" x14ac:dyDescent="0.55000000000000004">
      <c r="A12" s="20">
        <v>5</v>
      </c>
      <c r="B12" s="15" t="s">
        <v>461</v>
      </c>
      <c r="C12" s="29">
        <v>50000</v>
      </c>
      <c r="D12" s="22" t="s">
        <v>453</v>
      </c>
      <c r="E12" s="22" t="s">
        <v>462</v>
      </c>
    </row>
    <row r="13" spans="1:5" ht="30" customHeight="1" x14ac:dyDescent="0.55000000000000004">
      <c r="A13" s="20">
        <v>6</v>
      </c>
      <c r="B13" s="15" t="s">
        <v>463</v>
      </c>
      <c r="C13" s="29">
        <v>5000000</v>
      </c>
      <c r="D13" s="22" t="s">
        <v>453</v>
      </c>
      <c r="E13" s="22" t="s">
        <v>464</v>
      </c>
    </row>
    <row r="14" spans="1:5" ht="30" customHeight="1" x14ac:dyDescent="0.55000000000000004">
      <c r="A14" s="20">
        <v>7</v>
      </c>
      <c r="B14" s="15" t="s">
        <v>465</v>
      </c>
      <c r="C14" s="29">
        <v>35000000</v>
      </c>
      <c r="D14" s="22" t="s">
        <v>453</v>
      </c>
      <c r="E14" s="22" t="s">
        <v>466</v>
      </c>
    </row>
    <row r="15" spans="1:5" ht="30" customHeight="1" x14ac:dyDescent="0.55000000000000004">
      <c r="A15" s="20">
        <v>8</v>
      </c>
      <c r="B15" s="15" t="s">
        <v>467</v>
      </c>
      <c r="C15" s="26">
        <f>C14</f>
        <v>35000000</v>
      </c>
      <c r="D15" s="22" t="s">
        <v>453</v>
      </c>
      <c r="E15" s="22" t="s">
        <v>468</v>
      </c>
    </row>
    <row r="17" spans="1:5" ht="18" customHeight="1" x14ac:dyDescent="0.55000000000000004">
      <c r="A17" s="2" t="s">
        <v>469</v>
      </c>
      <c r="B17" s="2"/>
      <c r="C17" s="2"/>
      <c r="D17" s="2"/>
      <c r="E17" s="2"/>
    </row>
    <row r="18" spans="1:5" ht="18" customHeight="1" x14ac:dyDescent="0.55000000000000004">
      <c r="A18" s="9" t="s">
        <v>470</v>
      </c>
      <c r="B18" s="9"/>
      <c r="C18" s="29">
        <v>420000</v>
      </c>
    </row>
    <row r="19" spans="1:5" ht="19.5" customHeight="1" x14ac:dyDescent="0.55000000000000004">
      <c r="A19" s="9" t="s">
        <v>471</v>
      </c>
      <c r="B19" s="9"/>
      <c r="C19" s="25" t="str">
        <f>IF(C18&lt;=C8,"Direct Purchase",IF(AND(C10&lt;&gt;"",C18&gt;=C10),"Tender","Quotation-Based"))</f>
        <v>Quotation-Based</v>
      </c>
    </row>
    <row r="20" spans="1:5" ht="19.5" customHeight="1" x14ac:dyDescent="0.55000000000000004">
      <c r="A20" s="9" t="s">
        <v>472</v>
      </c>
      <c r="B20" s="9"/>
      <c r="C20" s="25" t="str">
        <f>IF(C18&lt;=C13,"Executive Director",IF(C18&lt;=C14,"General Directorate","National Procurement Authority"))</f>
        <v>Executive Director</v>
      </c>
    </row>
    <row r="21" spans="1:5" ht="19.5" customHeight="1" x14ac:dyDescent="0.55000000000000004">
      <c r="A21" s="9" t="s">
        <v>473</v>
      </c>
      <c r="B21" s="9"/>
      <c r="C21" s="25" t="str">
        <f>IF(C18&lt;C12,"Cash","Bank transfer")</f>
        <v>Bank transfer</v>
      </c>
    </row>
    <row r="23" spans="1:5" ht="18" customHeight="1" x14ac:dyDescent="0.55000000000000004">
      <c r="A23" s="9" t="s">
        <v>124</v>
      </c>
      <c r="B23" s="9"/>
      <c r="C23" s="9"/>
      <c r="D23" s="9"/>
      <c r="E23" s="9"/>
    </row>
    <row r="24" spans="1:5" ht="33.75" customHeight="1" x14ac:dyDescent="0.55000000000000004">
      <c r="A24" s="7" t="s">
        <v>474</v>
      </c>
      <c r="B24" s="7"/>
      <c r="C24" s="7"/>
      <c r="D24" s="7"/>
      <c r="E24" s="7"/>
    </row>
    <row r="25" spans="1:5" ht="33.75" customHeight="1" x14ac:dyDescent="0.55000000000000004">
      <c r="A25" s="7" t="s">
        <v>475</v>
      </c>
      <c r="B25" s="7"/>
      <c r="C25" s="7"/>
      <c r="D25" s="7"/>
      <c r="E25" s="7"/>
    </row>
  </sheetData>
  <mergeCells count="12">
    <mergeCell ref="A24:E24"/>
    <mergeCell ref="A25:E25"/>
    <mergeCell ref="A18:B18"/>
    <mergeCell ref="A19:B19"/>
    <mergeCell ref="A20:B20"/>
    <mergeCell ref="A21:B21"/>
    <mergeCell ref="A23:E23"/>
    <mergeCell ref="A1:B3"/>
    <mergeCell ref="C1:E1"/>
    <mergeCell ref="C2:E2"/>
    <mergeCell ref="C3:E3"/>
    <mergeCell ref="A17:E17"/>
  </mergeCells>
  <pageMargins left="0.5" right="0.5" top="1" bottom="1" header="0.511811023622047" footer="0.5"/>
  <pageSetup paperSize="9" fitToHeight="0" orientation="portrait" horizontalDpi="300" verticalDpi="300"/>
  <headerFooter>
    <oddFooter>&amp;LPC-14 | Crest Point Consulting Group&amp;CPage &amp;P of &amp;N&amp;RStrictly Confidential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pageSetUpPr fitToPage="1"/>
  </sheetPr>
  <dimension ref="A1:F31"/>
  <sheetViews>
    <sheetView showGridLines="0" zoomScaleNormal="100" workbookViewId="0"/>
  </sheetViews>
  <sheetFormatPr defaultColWidth="8.68359375" defaultRowHeight="14.4" x14ac:dyDescent="0.55000000000000004"/>
  <cols>
    <col min="1" max="1" width="7" customWidth="1"/>
    <col min="2" max="2" width="16" customWidth="1"/>
    <col min="3" max="3" width="32" customWidth="1"/>
    <col min="4" max="4" width="36" customWidth="1"/>
    <col min="5" max="6" width="17" customWidth="1"/>
  </cols>
  <sheetData>
    <row r="1" spans="1:6" ht="43.5" customHeight="1" x14ac:dyDescent="0.55000000000000004">
      <c r="A1" s="6" t="s">
        <v>95</v>
      </c>
      <c r="B1" s="6"/>
      <c r="C1" s="5" t="s">
        <v>0</v>
      </c>
      <c r="D1" s="5"/>
      <c r="E1" s="5"/>
      <c r="F1" s="5"/>
    </row>
    <row r="2" spans="1:6" ht="21.75" customHeight="1" x14ac:dyDescent="0.55000000000000004">
      <c r="A2" s="6"/>
      <c r="B2" s="6"/>
      <c r="C2" s="4" t="s">
        <v>476</v>
      </c>
      <c r="D2" s="4"/>
      <c r="E2" s="4"/>
      <c r="F2" s="4"/>
    </row>
    <row r="3" spans="1:6" ht="21.75" customHeight="1" x14ac:dyDescent="0.55000000000000004">
      <c r="A3" s="6"/>
      <c r="B3" s="6"/>
      <c r="C3" s="3" t="s">
        <v>477</v>
      </c>
      <c r="D3" s="3"/>
      <c r="E3" s="3"/>
      <c r="F3" s="3"/>
    </row>
    <row r="5" spans="1:6" ht="18" customHeight="1" x14ac:dyDescent="0.55000000000000004">
      <c r="A5" s="2" t="s">
        <v>478</v>
      </c>
      <c r="B5" s="2"/>
      <c r="C5" s="2"/>
      <c r="D5" s="2"/>
      <c r="E5" s="2"/>
      <c r="F5" s="2"/>
    </row>
    <row r="6" spans="1:6" ht="19.5" customHeight="1" x14ac:dyDescent="0.55000000000000004">
      <c r="A6" s="9" t="s">
        <v>479</v>
      </c>
      <c r="B6" s="9"/>
      <c r="C6" s="25" t="s">
        <v>480</v>
      </c>
      <c r="D6" s="13" t="s">
        <v>306</v>
      </c>
      <c r="E6" s="57">
        <v>46304.597222222197</v>
      </c>
      <c r="F6" s="57"/>
    </row>
    <row r="7" spans="1:6" ht="19.5" customHeight="1" x14ac:dyDescent="0.55000000000000004">
      <c r="A7" s="9" t="s">
        <v>481</v>
      </c>
      <c r="B7" s="9"/>
      <c r="C7" s="25" t="s">
        <v>482</v>
      </c>
      <c r="D7" s="13" t="s">
        <v>483</v>
      </c>
      <c r="E7" s="1" t="s">
        <v>389</v>
      </c>
      <c r="F7" s="1"/>
    </row>
    <row r="8" spans="1:6" ht="19.5" customHeight="1" x14ac:dyDescent="0.55000000000000004">
      <c r="A8" s="9" t="s">
        <v>484</v>
      </c>
      <c r="B8" s="9"/>
      <c r="C8" s="23" t="s">
        <v>485</v>
      </c>
      <c r="D8" s="13" t="s">
        <v>486</v>
      </c>
      <c r="E8" s="42" t="s">
        <v>196</v>
      </c>
      <c r="F8" s="42"/>
    </row>
    <row r="9" spans="1:6" ht="19.5" customHeight="1" x14ac:dyDescent="0.55000000000000004">
      <c r="A9" s="9" t="s">
        <v>487</v>
      </c>
      <c r="B9" s="9"/>
      <c r="C9" s="25" t="s">
        <v>148</v>
      </c>
      <c r="D9" s="13" t="s">
        <v>488</v>
      </c>
      <c r="E9" s="1" t="s">
        <v>489</v>
      </c>
      <c r="F9" s="1"/>
    </row>
    <row r="10" spans="1:6" ht="36" customHeight="1" x14ac:dyDescent="0.55000000000000004">
      <c r="A10" s="9" t="s">
        <v>490</v>
      </c>
      <c r="B10" s="9"/>
      <c r="C10" s="42" t="s">
        <v>491</v>
      </c>
      <c r="D10" s="42"/>
      <c r="E10" s="42"/>
      <c r="F10" s="42"/>
    </row>
    <row r="11" spans="1:6" ht="30" customHeight="1" x14ac:dyDescent="0.55000000000000004">
      <c r="A11" s="9" t="s">
        <v>492</v>
      </c>
      <c r="B11" s="9"/>
      <c r="C11" s="42" t="s">
        <v>493</v>
      </c>
      <c r="D11" s="42"/>
      <c r="E11" s="42"/>
      <c r="F11" s="42"/>
    </row>
    <row r="13" spans="1:6" ht="18" customHeight="1" x14ac:dyDescent="0.55000000000000004">
      <c r="A13" s="2" t="s">
        <v>494</v>
      </c>
      <c r="B13" s="2"/>
      <c r="C13" s="2"/>
      <c r="D13" s="2"/>
      <c r="E13" s="2"/>
      <c r="F13" s="2"/>
    </row>
    <row r="14" spans="1:6" ht="19.5" customHeight="1" x14ac:dyDescent="0.55000000000000004">
      <c r="A14" s="9" t="s">
        <v>495</v>
      </c>
      <c r="B14" s="9"/>
      <c r="C14" s="23" t="s">
        <v>110</v>
      </c>
      <c r="D14" s="13" t="s">
        <v>496</v>
      </c>
      <c r="E14" s="57">
        <v>46304.625</v>
      </c>
      <c r="F14" s="57"/>
    </row>
    <row r="15" spans="1:6" ht="30.75" customHeight="1" x14ac:dyDescent="0.55000000000000004">
      <c r="A15" s="9" t="s">
        <v>497</v>
      </c>
      <c r="B15" s="9"/>
      <c r="C15" s="42"/>
      <c r="D15" s="42"/>
      <c r="E15" s="42"/>
      <c r="F15" s="42"/>
    </row>
    <row r="16" spans="1:6" ht="30.75" customHeight="1" x14ac:dyDescent="0.55000000000000004">
      <c r="A16" s="9" t="s">
        <v>498</v>
      </c>
      <c r="B16" s="9"/>
      <c r="C16" s="25" t="s">
        <v>499</v>
      </c>
      <c r="D16" s="13" t="s">
        <v>500</v>
      </c>
      <c r="E16" s="1" t="s">
        <v>501</v>
      </c>
      <c r="F16" s="1"/>
    </row>
    <row r="18" spans="1:6" ht="18" customHeight="1" x14ac:dyDescent="0.55000000000000004">
      <c r="A18" s="2" t="s">
        <v>502</v>
      </c>
      <c r="B18" s="2"/>
      <c r="C18" s="2"/>
      <c r="D18" s="2"/>
      <c r="E18" s="2"/>
      <c r="F18" s="2"/>
    </row>
    <row r="19" spans="1:6" ht="18" customHeight="1" x14ac:dyDescent="0.55000000000000004">
      <c r="A19" s="9" t="s">
        <v>503</v>
      </c>
      <c r="B19" s="9"/>
      <c r="C19" s="9"/>
      <c r="D19" s="58" t="s">
        <v>504</v>
      </c>
      <c r="E19" s="58"/>
      <c r="F19" s="58"/>
    </row>
    <row r="20" spans="1:6" ht="18" customHeight="1" x14ac:dyDescent="0.55000000000000004">
      <c r="A20" s="9" t="s">
        <v>505</v>
      </c>
      <c r="B20" s="9"/>
      <c r="C20" s="9"/>
      <c r="D20" s="58" t="s">
        <v>504</v>
      </c>
      <c r="E20" s="58"/>
      <c r="F20" s="58"/>
    </row>
    <row r="21" spans="1:6" ht="18" customHeight="1" x14ac:dyDescent="0.55000000000000004">
      <c r="A21" s="9" t="s">
        <v>506</v>
      </c>
      <c r="B21" s="9"/>
      <c r="C21" s="9"/>
      <c r="D21" s="58" t="s">
        <v>504</v>
      </c>
      <c r="E21" s="58"/>
      <c r="F21" s="58"/>
    </row>
    <row r="22" spans="1:6" ht="18" customHeight="1" x14ac:dyDescent="0.55000000000000004">
      <c r="A22" s="9" t="s">
        <v>507</v>
      </c>
      <c r="B22" s="9"/>
      <c r="C22" s="9"/>
      <c r="D22" s="58" t="s">
        <v>504</v>
      </c>
      <c r="E22" s="58"/>
      <c r="F22" s="58"/>
    </row>
    <row r="24" spans="1:6" ht="30.75" customHeight="1" x14ac:dyDescent="0.55000000000000004">
      <c r="A24" s="43" t="s">
        <v>314</v>
      </c>
      <c r="B24" s="43"/>
      <c r="C24" s="43"/>
      <c r="D24" s="43" t="s">
        <v>508</v>
      </c>
      <c r="E24" s="43"/>
      <c r="F24" s="43"/>
    </row>
    <row r="25" spans="1:6" ht="19.5" customHeight="1" x14ac:dyDescent="0.55000000000000004">
      <c r="A25" s="8" t="s">
        <v>151</v>
      </c>
      <c r="B25" s="8"/>
      <c r="C25" s="8"/>
      <c r="D25" s="8" t="s">
        <v>151</v>
      </c>
      <c r="E25" s="8"/>
      <c r="F25" s="8"/>
    </row>
    <row r="26" spans="1:6" ht="19.5" customHeight="1" x14ac:dyDescent="0.55000000000000004">
      <c r="A26" s="8" t="s">
        <v>152</v>
      </c>
      <c r="B26" s="8"/>
      <c r="C26" s="8"/>
      <c r="D26" s="8" t="s">
        <v>152</v>
      </c>
      <c r="E26" s="8"/>
      <c r="F26" s="8"/>
    </row>
    <row r="27" spans="1:6" ht="43.5" customHeight="1" x14ac:dyDescent="0.55000000000000004">
      <c r="A27" s="44" t="s">
        <v>153</v>
      </c>
      <c r="B27" s="44"/>
      <c r="C27" s="44"/>
      <c r="D27" s="44" t="s">
        <v>153</v>
      </c>
      <c r="E27" s="44"/>
      <c r="F27" s="44"/>
    </row>
    <row r="28" spans="1:6" ht="19.5" customHeight="1" x14ac:dyDescent="0.55000000000000004">
      <c r="A28" s="8" t="s">
        <v>154</v>
      </c>
      <c r="B28" s="8"/>
      <c r="C28" s="8"/>
      <c r="D28" s="8" t="s">
        <v>154</v>
      </c>
      <c r="E28" s="8"/>
      <c r="F28" s="8"/>
    </row>
    <row r="30" spans="1:6" ht="18" customHeight="1" x14ac:dyDescent="0.55000000000000004">
      <c r="A30" s="9" t="s">
        <v>124</v>
      </c>
      <c r="B30" s="9"/>
      <c r="C30" s="9"/>
      <c r="D30" s="9"/>
      <c r="E30" s="9"/>
      <c r="F30" s="9"/>
    </row>
    <row r="31" spans="1:6" ht="43.5" customHeight="1" x14ac:dyDescent="0.55000000000000004">
      <c r="A31" s="7" t="s">
        <v>509</v>
      </c>
      <c r="B31" s="7"/>
      <c r="C31" s="7"/>
      <c r="D31" s="7"/>
      <c r="E31" s="7"/>
      <c r="F31" s="7"/>
    </row>
  </sheetData>
  <mergeCells count="45">
    <mergeCell ref="A31:F31"/>
    <mergeCell ref="A27:C27"/>
    <mergeCell ref="D27:F27"/>
    <mergeCell ref="A28:C28"/>
    <mergeCell ref="D28:F28"/>
    <mergeCell ref="A30:F30"/>
    <mergeCell ref="A24:C24"/>
    <mergeCell ref="D24:F24"/>
    <mergeCell ref="A25:C25"/>
    <mergeCell ref="D25:F25"/>
    <mergeCell ref="A26:C26"/>
    <mergeCell ref="D26:F26"/>
    <mergeCell ref="A20:C20"/>
    <mergeCell ref="D20:F20"/>
    <mergeCell ref="A21:C21"/>
    <mergeCell ref="D21:F21"/>
    <mergeCell ref="A22:C22"/>
    <mergeCell ref="D22:F22"/>
    <mergeCell ref="A16:B16"/>
    <mergeCell ref="E16:F16"/>
    <mergeCell ref="A18:F18"/>
    <mergeCell ref="A19:C19"/>
    <mergeCell ref="D19:F19"/>
    <mergeCell ref="A13:F13"/>
    <mergeCell ref="A14:B14"/>
    <mergeCell ref="E14:F14"/>
    <mergeCell ref="A15:B15"/>
    <mergeCell ref="C15:F15"/>
    <mergeCell ref="A9:B9"/>
    <mergeCell ref="E9:F9"/>
    <mergeCell ref="A10:B10"/>
    <mergeCell ref="C10:F10"/>
    <mergeCell ref="A11:B11"/>
    <mergeCell ref="C11:F11"/>
    <mergeCell ref="A6:B6"/>
    <mergeCell ref="E6:F6"/>
    <mergeCell ref="A7:B7"/>
    <mergeCell ref="E7:F7"/>
    <mergeCell ref="A8:B8"/>
    <mergeCell ref="E8:F8"/>
    <mergeCell ref="A1:B3"/>
    <mergeCell ref="C1:F1"/>
    <mergeCell ref="C2:F2"/>
    <mergeCell ref="C3:F3"/>
    <mergeCell ref="A5:F5"/>
  </mergeCells>
  <dataValidations count="2">
    <dataValidation type="list" allowBlank="1" sqref="C8" xr:uid="{00000000-0002-0000-0F00-000000000000}">
      <formula1>"Procurement method / classification,Bid comparison,Purchase Order / Contract,Implementation % update,Extension Request,Other"</formula1>
      <formula2>0</formula2>
    </dataValidation>
    <dataValidation type="list" allowBlank="1" sqref="C14" xr:uid="{00000000-0002-0000-0F00-000001000000}">
      <formula1>"Approved,Rejected"</formula1>
      <formula2>0</formula2>
    </dataValidation>
  </dataValidations>
  <pageMargins left="0.5" right="0.5" top="1" bottom="1" header="0.511811023622047" footer="0.5"/>
  <pageSetup paperSize="9" fitToHeight="0" orientation="portrait" horizontalDpi="300" verticalDpi="300"/>
  <headerFooter>
    <oddFooter>&amp;LPC-15 | Crest Point Consulting Group&amp;CPage &amp;P of &amp;N&amp;RStrictly Confidential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F7F7F"/>
    <pageSetUpPr fitToPage="1"/>
  </sheetPr>
  <dimension ref="A1:G15"/>
  <sheetViews>
    <sheetView showGridLines="0" zoomScaleNormal="100" workbookViewId="0">
      <pane ySplit="5" topLeftCell="A6" activePane="bottomLeft" state="frozen"/>
      <selection pane="bottomLeft"/>
    </sheetView>
  </sheetViews>
  <sheetFormatPr defaultColWidth="8.68359375" defaultRowHeight="14.4" x14ac:dyDescent="0.55000000000000004"/>
  <cols>
    <col min="1" max="2" width="28" customWidth="1"/>
    <col min="3" max="3" width="30" customWidth="1"/>
    <col min="4" max="4" width="32" customWidth="1"/>
    <col min="5" max="5" width="28" customWidth="1"/>
    <col min="6" max="6" width="30" customWidth="1"/>
    <col min="7" max="7" width="40" customWidth="1"/>
  </cols>
  <sheetData>
    <row r="1" spans="1:7" ht="21.75" customHeight="1" x14ac:dyDescent="0.55000000000000004">
      <c r="A1" s="6" t="s">
        <v>95</v>
      </c>
      <c r="B1" s="6"/>
      <c r="C1" s="5" t="s">
        <v>0</v>
      </c>
      <c r="D1" s="5"/>
      <c r="E1" s="5"/>
      <c r="F1" s="5"/>
      <c r="G1" s="5"/>
    </row>
    <row r="2" spans="1:7" ht="21.75" customHeight="1" x14ac:dyDescent="0.55000000000000004">
      <c r="A2" s="6"/>
      <c r="B2" s="6"/>
      <c r="C2" s="4" t="s">
        <v>510</v>
      </c>
      <c r="D2" s="4"/>
      <c r="E2" s="4"/>
      <c r="F2" s="4"/>
      <c r="G2" s="4"/>
    </row>
    <row r="3" spans="1:7" ht="21.75" customHeight="1" x14ac:dyDescent="0.55000000000000004">
      <c r="A3" s="6"/>
      <c r="B3" s="6"/>
      <c r="C3" s="3" t="s">
        <v>511</v>
      </c>
      <c r="D3" s="3"/>
      <c r="E3" s="3"/>
      <c r="F3" s="3"/>
      <c r="G3" s="3"/>
    </row>
    <row r="5" spans="1:7" ht="33.75" customHeight="1" x14ac:dyDescent="0.55000000000000004">
      <c r="A5" s="19" t="s">
        <v>512</v>
      </c>
      <c r="B5" s="19" t="s">
        <v>513</v>
      </c>
      <c r="C5" s="19" t="s">
        <v>514</v>
      </c>
      <c r="D5" s="19" t="s">
        <v>515</v>
      </c>
      <c r="E5" s="19" t="s">
        <v>516</v>
      </c>
      <c r="F5" s="19" t="s">
        <v>517</v>
      </c>
      <c r="G5" s="19" t="s">
        <v>518</v>
      </c>
    </row>
    <row r="6" spans="1:7" ht="30.75" customHeight="1" x14ac:dyDescent="0.55000000000000004">
      <c r="A6" s="15" t="s">
        <v>519</v>
      </c>
      <c r="B6" s="15" t="s">
        <v>520</v>
      </c>
      <c r="C6" s="15" t="s">
        <v>521</v>
      </c>
      <c r="D6" s="15" t="s">
        <v>522</v>
      </c>
      <c r="E6" s="15" t="s">
        <v>523</v>
      </c>
      <c r="F6" s="15" t="s">
        <v>524</v>
      </c>
      <c r="G6" s="15" t="s">
        <v>525</v>
      </c>
    </row>
    <row r="7" spans="1:7" ht="30.75" customHeight="1" x14ac:dyDescent="0.55000000000000004">
      <c r="A7" s="15" t="s">
        <v>21</v>
      </c>
      <c r="B7" s="15" t="s">
        <v>526</v>
      </c>
      <c r="C7" s="15" t="s">
        <v>527</v>
      </c>
      <c r="D7" s="15" t="s">
        <v>523</v>
      </c>
      <c r="E7" s="15" t="s">
        <v>523</v>
      </c>
      <c r="F7" s="15" t="s">
        <v>524</v>
      </c>
      <c r="G7" s="15" t="s">
        <v>528</v>
      </c>
    </row>
    <row r="8" spans="1:7" ht="30.75" customHeight="1" x14ac:dyDescent="0.55000000000000004">
      <c r="A8" s="15" t="s">
        <v>25</v>
      </c>
      <c r="B8" s="15" t="s">
        <v>526</v>
      </c>
      <c r="C8" s="15" t="s">
        <v>523</v>
      </c>
      <c r="D8" s="15" t="s">
        <v>523</v>
      </c>
      <c r="E8" s="15" t="s">
        <v>523</v>
      </c>
      <c r="F8" s="15" t="s">
        <v>524</v>
      </c>
      <c r="G8" s="15" t="s">
        <v>529</v>
      </c>
    </row>
    <row r="9" spans="1:7" ht="30.75" customHeight="1" x14ac:dyDescent="0.55000000000000004">
      <c r="A9" s="15" t="s">
        <v>29</v>
      </c>
      <c r="B9" s="15" t="s">
        <v>530</v>
      </c>
      <c r="C9" s="15" t="s">
        <v>531</v>
      </c>
      <c r="D9" s="15" t="s">
        <v>532</v>
      </c>
      <c r="E9" s="15" t="s">
        <v>523</v>
      </c>
      <c r="F9" s="15" t="s">
        <v>524</v>
      </c>
      <c r="G9" s="15" t="s">
        <v>533</v>
      </c>
    </row>
    <row r="10" spans="1:7" ht="43.5" customHeight="1" x14ac:dyDescent="0.55000000000000004">
      <c r="A10" s="15" t="s">
        <v>534</v>
      </c>
      <c r="B10" s="15" t="s">
        <v>535</v>
      </c>
      <c r="C10" s="15" t="s">
        <v>536</v>
      </c>
      <c r="D10" s="15" t="s">
        <v>523</v>
      </c>
      <c r="E10" s="15" t="s">
        <v>537</v>
      </c>
      <c r="F10" s="15" t="s">
        <v>524</v>
      </c>
      <c r="G10" s="15" t="s">
        <v>538</v>
      </c>
    </row>
    <row r="11" spans="1:7" ht="30.75" customHeight="1" x14ac:dyDescent="0.55000000000000004">
      <c r="A11" s="15" t="s">
        <v>539</v>
      </c>
      <c r="B11" s="15" t="s">
        <v>540</v>
      </c>
      <c r="C11" s="15" t="s">
        <v>541</v>
      </c>
      <c r="D11" s="15" t="s">
        <v>523</v>
      </c>
      <c r="E11" s="15" t="s">
        <v>523</v>
      </c>
      <c r="F11" s="15" t="s">
        <v>524</v>
      </c>
      <c r="G11" s="15" t="s">
        <v>542</v>
      </c>
    </row>
    <row r="12" spans="1:7" ht="30.75" customHeight="1" x14ac:dyDescent="0.55000000000000004">
      <c r="A12" s="15" t="s">
        <v>49</v>
      </c>
      <c r="B12" s="15" t="s">
        <v>543</v>
      </c>
      <c r="C12" s="15" t="s">
        <v>544</v>
      </c>
      <c r="D12" s="15" t="s">
        <v>523</v>
      </c>
      <c r="E12" s="15" t="s">
        <v>523</v>
      </c>
      <c r="F12" s="15" t="s">
        <v>545</v>
      </c>
      <c r="G12" s="15" t="s">
        <v>546</v>
      </c>
    </row>
    <row r="13" spans="1:7" ht="30.75" customHeight="1" x14ac:dyDescent="0.55000000000000004">
      <c r="A13" s="15" t="s">
        <v>53</v>
      </c>
      <c r="B13" s="15" t="s">
        <v>547</v>
      </c>
      <c r="C13" s="15" t="s">
        <v>548</v>
      </c>
      <c r="D13" s="15" t="s">
        <v>523</v>
      </c>
      <c r="E13" s="15" t="s">
        <v>549</v>
      </c>
      <c r="F13" s="15" t="s">
        <v>550</v>
      </c>
      <c r="G13" s="15" t="s">
        <v>551</v>
      </c>
    </row>
    <row r="14" spans="1:7" ht="18" customHeight="1" x14ac:dyDescent="0.55000000000000004">
      <c r="A14" s="15" t="s">
        <v>65</v>
      </c>
      <c r="B14" s="15" t="s">
        <v>552</v>
      </c>
      <c r="C14" s="15" t="s">
        <v>553</v>
      </c>
      <c r="D14" s="15" t="s">
        <v>523</v>
      </c>
      <c r="E14" s="15" t="s">
        <v>523</v>
      </c>
      <c r="F14" s="15" t="s">
        <v>524</v>
      </c>
      <c r="G14" s="15" t="s">
        <v>554</v>
      </c>
    </row>
    <row r="15" spans="1:7" ht="30.75" customHeight="1" x14ac:dyDescent="0.55000000000000004">
      <c r="A15" s="15" t="s">
        <v>73</v>
      </c>
      <c r="B15" s="15" t="s">
        <v>526</v>
      </c>
      <c r="C15" s="15" t="s">
        <v>555</v>
      </c>
      <c r="D15" s="15" t="s">
        <v>523</v>
      </c>
      <c r="E15" s="15" t="s">
        <v>523</v>
      </c>
      <c r="F15" s="15" t="s">
        <v>556</v>
      </c>
      <c r="G15" s="15" t="s">
        <v>557</v>
      </c>
    </row>
  </sheetData>
  <mergeCells count="4">
    <mergeCell ref="A1:B3"/>
    <mergeCell ref="C1:G1"/>
    <mergeCell ref="C2:G2"/>
    <mergeCell ref="C3:G3"/>
  </mergeCells>
  <pageMargins left="0.5" right="0.5" top="1" bottom="1" header="0.511811023622047" footer="0.5"/>
  <pageSetup paperSize="9" fitToHeight="0" orientation="landscape" horizontalDpi="300" verticalDpi="300"/>
  <headerFooter>
    <oddFooter>&amp;LPC-16 | Crest Point Consulting Group&amp;CPage &amp;P of &amp;N&amp;RStrictly Confidential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7F7F7F"/>
    <pageSetUpPr fitToPage="1"/>
  </sheetPr>
  <dimension ref="A1:E14"/>
  <sheetViews>
    <sheetView showGridLines="0" zoomScaleNormal="100" workbookViewId="0"/>
  </sheetViews>
  <sheetFormatPr defaultColWidth="8.68359375" defaultRowHeight="14.4" x14ac:dyDescent="0.55000000000000004"/>
  <cols>
    <col min="1" max="1" width="5" customWidth="1"/>
    <col min="2" max="2" width="50" customWidth="1"/>
    <col min="3" max="4" width="34" customWidth="1"/>
    <col min="5" max="5" width="50" customWidth="1"/>
  </cols>
  <sheetData>
    <row r="1" spans="1:5" ht="55.5" customHeight="1" x14ac:dyDescent="0.55000000000000004">
      <c r="A1" s="6" t="s">
        <v>95</v>
      </c>
      <c r="B1" s="6"/>
      <c r="C1" s="5" t="s">
        <v>0</v>
      </c>
      <c r="D1" s="5"/>
      <c r="E1" s="5"/>
    </row>
    <row r="2" spans="1:5" ht="21.75" customHeight="1" x14ac:dyDescent="0.55000000000000004">
      <c r="A2" s="6"/>
      <c r="B2" s="6"/>
      <c r="C2" s="4" t="s">
        <v>558</v>
      </c>
      <c r="D2" s="4"/>
      <c r="E2" s="4"/>
    </row>
    <row r="3" spans="1:5" ht="21.75" customHeight="1" x14ac:dyDescent="0.55000000000000004">
      <c r="A3" s="6"/>
      <c r="B3" s="6"/>
      <c r="C3" s="3" t="s">
        <v>559</v>
      </c>
      <c r="D3" s="3"/>
      <c r="E3" s="3"/>
    </row>
    <row r="5" spans="1:5" ht="30" customHeight="1" x14ac:dyDescent="0.55000000000000004">
      <c r="A5" s="19" t="s">
        <v>560</v>
      </c>
      <c r="B5" s="19" t="s">
        <v>561</v>
      </c>
      <c r="C5" s="19" t="s">
        <v>562</v>
      </c>
      <c r="D5" s="19" t="s">
        <v>563</v>
      </c>
      <c r="E5" s="19" t="s">
        <v>564</v>
      </c>
    </row>
    <row r="6" spans="1:5" ht="30.75" customHeight="1" x14ac:dyDescent="0.55000000000000004">
      <c r="A6" s="15">
        <v>1</v>
      </c>
      <c r="B6" s="15" t="s">
        <v>565</v>
      </c>
      <c r="C6" s="15" t="s">
        <v>566</v>
      </c>
      <c r="D6" s="15" t="s">
        <v>567</v>
      </c>
      <c r="E6" s="15" t="s">
        <v>568</v>
      </c>
    </row>
    <row r="7" spans="1:5" ht="30.75" customHeight="1" x14ac:dyDescent="0.55000000000000004">
      <c r="A7" s="15">
        <v>2</v>
      </c>
      <c r="B7" s="15" t="s">
        <v>569</v>
      </c>
      <c r="C7" s="15" t="s">
        <v>567</v>
      </c>
      <c r="D7" s="15" t="s">
        <v>566</v>
      </c>
      <c r="E7" s="15" t="s">
        <v>570</v>
      </c>
    </row>
    <row r="8" spans="1:5" ht="30.75" customHeight="1" x14ac:dyDescent="0.55000000000000004">
      <c r="A8" s="15">
        <v>3</v>
      </c>
      <c r="B8" s="15" t="s">
        <v>571</v>
      </c>
      <c r="C8" s="15" t="s">
        <v>567</v>
      </c>
      <c r="D8" s="15" t="s">
        <v>572</v>
      </c>
      <c r="E8" s="15" t="s">
        <v>570</v>
      </c>
    </row>
    <row r="9" spans="1:5" ht="30.75" customHeight="1" x14ac:dyDescent="0.55000000000000004">
      <c r="A9" s="15">
        <v>4</v>
      </c>
      <c r="B9" s="15" t="s">
        <v>573</v>
      </c>
      <c r="C9" s="15" t="s">
        <v>574</v>
      </c>
      <c r="D9" s="15" t="s">
        <v>575</v>
      </c>
      <c r="E9" s="15" t="s">
        <v>576</v>
      </c>
    </row>
    <row r="10" spans="1:5" ht="18" customHeight="1" x14ac:dyDescent="0.55000000000000004">
      <c r="A10" s="15">
        <v>5</v>
      </c>
      <c r="B10" s="15" t="s">
        <v>577</v>
      </c>
      <c r="C10" s="15" t="s">
        <v>575</v>
      </c>
      <c r="D10" s="15" t="s">
        <v>566</v>
      </c>
      <c r="E10" s="15" t="s">
        <v>578</v>
      </c>
    </row>
    <row r="12" spans="1:5" ht="18" customHeight="1" x14ac:dyDescent="0.55000000000000004">
      <c r="A12" s="9" t="s">
        <v>124</v>
      </c>
      <c r="B12" s="9"/>
      <c r="C12" s="9"/>
      <c r="D12" s="9"/>
      <c r="E12" s="9"/>
    </row>
    <row r="13" spans="1:5" ht="33.75" customHeight="1" x14ac:dyDescent="0.55000000000000004">
      <c r="A13" s="7" t="s">
        <v>579</v>
      </c>
      <c r="B13" s="7"/>
      <c r="C13" s="7"/>
      <c r="D13" s="7"/>
      <c r="E13" s="7"/>
    </row>
    <row r="14" spans="1:5" ht="33.75" customHeight="1" x14ac:dyDescent="0.55000000000000004">
      <c r="A14" s="7" t="s">
        <v>580</v>
      </c>
      <c r="B14" s="7"/>
      <c r="C14" s="7"/>
      <c r="D14" s="7"/>
      <c r="E14" s="7"/>
    </row>
  </sheetData>
  <mergeCells count="7">
    <mergeCell ref="A13:E13"/>
    <mergeCell ref="A14:E14"/>
    <mergeCell ref="A1:B3"/>
    <mergeCell ref="C1:E1"/>
    <mergeCell ref="C2:E2"/>
    <mergeCell ref="C3:E3"/>
    <mergeCell ref="A12:E12"/>
  </mergeCells>
  <pageMargins left="0.5" right="0.5" top="1" bottom="1" header="0.511811023622047" footer="0.5"/>
  <pageSetup paperSize="9" fitToHeight="0" orientation="landscape" horizontalDpi="300" verticalDpi="300"/>
  <headerFooter>
    <oddFooter>&amp;LPC-17 | Crest Point Consulting Group&amp;CPage &amp;P of &amp;N&amp;RStrictly Confidential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7F7F7F"/>
    <pageSetUpPr fitToPage="1"/>
  </sheetPr>
  <dimension ref="A1:E18"/>
  <sheetViews>
    <sheetView showGridLines="0" zoomScaleNormal="100" workbookViewId="0"/>
  </sheetViews>
  <sheetFormatPr defaultColWidth="8.68359375" defaultRowHeight="14.4" x14ac:dyDescent="0.55000000000000004"/>
  <cols>
    <col min="1" max="1" width="5" customWidth="1"/>
    <col min="2" max="2" width="42" customWidth="1"/>
    <col min="3" max="3" width="22" customWidth="1"/>
    <col min="4" max="4" width="70" customWidth="1"/>
    <col min="5" max="5" width="14" customWidth="1"/>
  </cols>
  <sheetData>
    <row r="1" spans="1:5" ht="55.5" customHeight="1" x14ac:dyDescent="0.55000000000000004">
      <c r="A1" s="6" t="s">
        <v>95</v>
      </c>
      <c r="B1" s="6"/>
      <c r="C1" s="5" t="s">
        <v>0</v>
      </c>
      <c r="D1" s="5"/>
      <c r="E1" s="5"/>
    </row>
    <row r="2" spans="1:5" ht="21.75" customHeight="1" x14ac:dyDescent="0.55000000000000004">
      <c r="A2" s="6"/>
      <c r="B2" s="6"/>
      <c r="C2" s="4" t="s">
        <v>581</v>
      </c>
      <c r="D2" s="4"/>
      <c r="E2" s="4"/>
    </row>
    <row r="3" spans="1:5" ht="30.75" customHeight="1" x14ac:dyDescent="0.55000000000000004">
      <c r="A3" s="6"/>
      <c r="B3" s="6"/>
      <c r="C3" s="3" t="s">
        <v>582</v>
      </c>
      <c r="D3" s="3"/>
      <c r="E3" s="3"/>
    </row>
    <row r="5" spans="1:5" ht="30" customHeight="1" x14ac:dyDescent="0.55000000000000004">
      <c r="A5" s="19" t="s">
        <v>560</v>
      </c>
      <c r="B5" s="19" t="s">
        <v>583</v>
      </c>
      <c r="C5" s="19" t="s">
        <v>584</v>
      </c>
      <c r="D5" s="19" t="s">
        <v>585</v>
      </c>
      <c r="E5" s="19" t="s">
        <v>586</v>
      </c>
    </row>
    <row r="6" spans="1:5" ht="18" customHeight="1" x14ac:dyDescent="0.55000000000000004">
      <c r="A6" s="15">
        <v>1</v>
      </c>
      <c r="B6" s="15" t="s">
        <v>587</v>
      </c>
      <c r="C6" s="15" t="s">
        <v>588</v>
      </c>
      <c r="D6" s="15" t="s">
        <v>589</v>
      </c>
      <c r="E6" s="15" t="s">
        <v>590</v>
      </c>
    </row>
    <row r="7" spans="1:5" ht="30.75" customHeight="1" x14ac:dyDescent="0.55000000000000004">
      <c r="A7" s="15">
        <v>2</v>
      </c>
      <c r="B7" s="15" t="s">
        <v>591</v>
      </c>
      <c r="C7" s="15" t="s">
        <v>588</v>
      </c>
      <c r="D7" s="15" t="s">
        <v>592</v>
      </c>
      <c r="E7" s="15" t="s">
        <v>590</v>
      </c>
    </row>
    <row r="8" spans="1:5" ht="18" customHeight="1" x14ac:dyDescent="0.55000000000000004">
      <c r="A8" s="15">
        <v>3</v>
      </c>
      <c r="B8" s="15" t="s">
        <v>593</v>
      </c>
      <c r="C8" s="15" t="s">
        <v>594</v>
      </c>
      <c r="D8" s="15" t="s">
        <v>595</v>
      </c>
      <c r="E8" s="15" t="s">
        <v>590</v>
      </c>
    </row>
    <row r="9" spans="1:5" ht="18" customHeight="1" x14ac:dyDescent="0.55000000000000004">
      <c r="A9" s="15">
        <v>4</v>
      </c>
      <c r="B9" s="15" t="s">
        <v>596</v>
      </c>
      <c r="C9" s="15" t="s">
        <v>588</v>
      </c>
      <c r="D9" s="15" t="s">
        <v>597</v>
      </c>
      <c r="E9" s="15" t="s">
        <v>590</v>
      </c>
    </row>
    <row r="10" spans="1:5" ht="30.75" customHeight="1" x14ac:dyDescent="0.55000000000000004">
      <c r="A10" s="15">
        <v>5</v>
      </c>
      <c r="B10" s="15" t="s">
        <v>598</v>
      </c>
      <c r="C10" s="15" t="s">
        <v>588</v>
      </c>
      <c r="D10" s="15" t="s">
        <v>599</v>
      </c>
      <c r="E10" s="15" t="s">
        <v>590</v>
      </c>
    </row>
    <row r="11" spans="1:5" ht="18" customHeight="1" x14ac:dyDescent="0.55000000000000004">
      <c r="A11" s="15">
        <v>6</v>
      </c>
      <c r="B11" s="15" t="s">
        <v>600</v>
      </c>
      <c r="C11" s="15" t="s">
        <v>588</v>
      </c>
      <c r="D11" s="15" t="s">
        <v>601</v>
      </c>
      <c r="E11" s="15" t="s">
        <v>590</v>
      </c>
    </row>
    <row r="12" spans="1:5" ht="18" customHeight="1" x14ac:dyDescent="0.55000000000000004">
      <c r="A12" s="15">
        <v>7</v>
      </c>
      <c r="B12" s="15" t="s">
        <v>602</v>
      </c>
      <c r="C12" s="15" t="s">
        <v>594</v>
      </c>
      <c r="D12" s="15" t="s">
        <v>603</v>
      </c>
      <c r="E12" s="15" t="s">
        <v>590</v>
      </c>
    </row>
    <row r="13" spans="1:5" ht="18" customHeight="1" x14ac:dyDescent="0.55000000000000004">
      <c r="A13" s="15">
        <v>8</v>
      </c>
      <c r="B13" s="15" t="s">
        <v>604</v>
      </c>
      <c r="C13" s="15" t="s">
        <v>594</v>
      </c>
      <c r="D13" s="15" t="s">
        <v>605</v>
      </c>
      <c r="E13" s="15" t="s">
        <v>590</v>
      </c>
    </row>
    <row r="14" spans="1:5" ht="18" customHeight="1" x14ac:dyDescent="0.55000000000000004">
      <c r="A14" s="15">
        <v>9</v>
      </c>
      <c r="B14" s="15" t="s">
        <v>606</v>
      </c>
      <c r="C14" s="15" t="s">
        <v>588</v>
      </c>
      <c r="D14" s="15" t="s">
        <v>607</v>
      </c>
      <c r="E14" s="15" t="s">
        <v>590</v>
      </c>
    </row>
    <row r="15" spans="1:5" ht="18" customHeight="1" x14ac:dyDescent="0.55000000000000004">
      <c r="A15" s="15">
        <v>10</v>
      </c>
      <c r="B15" s="15" t="s">
        <v>608</v>
      </c>
      <c r="C15" s="15" t="s">
        <v>609</v>
      </c>
      <c r="D15" s="15" t="s">
        <v>610</v>
      </c>
      <c r="E15" s="15" t="s">
        <v>590</v>
      </c>
    </row>
    <row r="16" spans="1:5" ht="18" customHeight="1" x14ac:dyDescent="0.55000000000000004">
      <c r="A16" s="15">
        <v>11</v>
      </c>
      <c r="B16" s="15" t="s">
        <v>611</v>
      </c>
      <c r="C16" s="15" t="s">
        <v>588</v>
      </c>
      <c r="D16" s="15" t="s">
        <v>612</v>
      </c>
      <c r="E16" s="15" t="s">
        <v>590</v>
      </c>
    </row>
    <row r="17" spans="1:5" ht="18" customHeight="1" x14ac:dyDescent="0.55000000000000004">
      <c r="A17" s="15">
        <v>12</v>
      </c>
      <c r="B17" s="15" t="s">
        <v>613</v>
      </c>
      <c r="C17" s="15" t="s">
        <v>614</v>
      </c>
      <c r="D17" s="15" t="s">
        <v>615</v>
      </c>
      <c r="E17" s="15" t="s">
        <v>590</v>
      </c>
    </row>
    <row r="18" spans="1:5" ht="30.75" customHeight="1" x14ac:dyDescent="0.55000000000000004">
      <c r="A18" s="15">
        <v>13</v>
      </c>
      <c r="B18" s="15" t="s">
        <v>616</v>
      </c>
      <c r="C18" s="15" t="s">
        <v>588</v>
      </c>
      <c r="D18" s="15" t="s">
        <v>617</v>
      </c>
      <c r="E18" s="15" t="s">
        <v>590</v>
      </c>
    </row>
  </sheetData>
  <mergeCells count="4">
    <mergeCell ref="A1:B3"/>
    <mergeCell ref="C1:E1"/>
    <mergeCell ref="C2:E2"/>
    <mergeCell ref="C3:E3"/>
  </mergeCells>
  <pageMargins left="0.5" right="0.5" top="1" bottom="1" header="0.511811023622047" footer="0.5"/>
  <pageSetup paperSize="9" fitToHeight="0" orientation="landscape" horizontalDpi="300" verticalDpi="300"/>
  <headerFooter>
    <oddFooter>&amp;LPC-18 | Crest Point Consulting Group&amp;CPage &amp;P of &amp;N&amp;RStrictly Confidential</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Index</vt:lpstr>
      <vt:lpstr>PC-01 Pending Request Queue</vt:lpstr>
      <vt:lpstr>PC-02 Method &amp; Classification</vt:lpstr>
      <vt:lpstr>PC-03 Bid Comparison</vt:lpstr>
      <vt:lpstr>PC-04 PO &amp; Contract</vt:lpstr>
      <vt:lpstr>PC-05 Security Deposit Action</vt:lpstr>
      <vt:lpstr>PC-06 Security Deposit Ledger</vt:lpstr>
      <vt:lpstr>PC-07 Implementation Tracker</vt:lpstr>
      <vt:lpstr>PC-08 Extension Request</vt:lpstr>
      <vt:lpstr>PC-09 Project Handover</vt:lpstr>
      <vt:lpstr>PC-10 IC Verification</vt:lpstr>
      <vt:lpstr>PC-11 Contract Register</vt:lpstr>
      <vt:lpstr>PC-12 Supplier Master</vt:lpstr>
      <vt:lpstr>PC-13 Classifications</vt:lpstr>
      <vt:lpstr>PC-14 Thresholds Config</vt:lpstr>
      <vt:lpstr>PC-15 Correction Request</vt:lpstr>
      <vt:lpstr>PC-16 Approval Matrix</vt:lpstr>
      <vt:lpstr>PC-17 Accounting Entries</vt:lpstr>
      <vt:lpstr>PC-18 Reports Spec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Fayaz Yasini;Crest_Point1</dc:creator>
  <dc:description/>
  <cp:lastModifiedBy>Fayaz Yasini</cp:lastModifiedBy>
  <cp:revision>0</cp:revision>
  <dcterms:created xsi:type="dcterms:W3CDTF">2026-10-16T05:21:44Z</dcterms:created>
  <dcterms:modified xsi:type="dcterms:W3CDTF">2026-10-16T12:39:50Z</dcterms:modified>
  <dc:language>en-US</dc:language>
</cp:coreProperties>
</file>